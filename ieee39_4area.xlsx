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Alter" sheetId="15" r:id="rId1"/>
    <sheet name="Toggler" sheetId="14" r:id="rId2"/>
    <sheet name="Bus" sheetId="1" r:id="rId3"/>
    <sheet name="PQ" sheetId="2" r:id="rId4"/>
    <sheet name="PV" sheetId="3" r:id="rId5"/>
    <sheet name="Slack" sheetId="4" r:id="rId6"/>
    <sheet name="Shunt" sheetId="5" r:id="rId7"/>
    <sheet name="Line" sheetId="6" r:id="rId8"/>
    <sheet name="Area" sheetId="7" r:id="rId9"/>
    <sheet name="REGF2" sheetId="24" r:id="rId10"/>
    <sheet name="GENROU" sheetId="8" r:id="rId11"/>
    <sheet name="TGOV1N" sheetId="9" r:id="rId12"/>
    <sheet name="IEEEX1" sheetId="10" r:id="rId13"/>
    <sheet name="IEEEST" sheetId="11" r:id="rId14"/>
    <sheet name="BusFreq" sheetId="20" r:id="rId15"/>
    <sheet name="BusROCOF" sheetId="18" r:id="rId16"/>
    <sheet name="COI" sheetId="19" r:id="rId17"/>
    <sheet name="ACEc" sheetId="13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<sst xmlns="http://schemas.openxmlformats.org/spreadsheetml/2006/main" count="827" uniqueCount="389">
  <si>
    <t>uid</t>
  </si>
  <si>
    <t>idx</t>
  </si>
  <si>
    <t>u</t>
  </si>
  <si>
    <t>name</t>
  </si>
  <si>
    <t>t</t>
  </si>
  <si>
    <t>model</t>
  </si>
  <si>
    <t>dev</t>
  </si>
  <si>
    <t>src</t>
  </si>
  <si>
    <t>attr</t>
  </si>
  <si>
    <t>method</t>
  </si>
  <si>
    <t>amount</t>
  </si>
  <si>
    <t>rand</t>
  </si>
  <si>
    <t>lb</t>
  </si>
  <si>
    <t>ub</t>
  </si>
  <si>
    <t>Alter_1</t>
  </si>
  <si>
    <t>PQ</t>
  </si>
  <si>
    <t>Ppf</t>
  </si>
  <si>
    <t>v</t>
  </si>
  <si>
    <t>+</t>
  </si>
  <si>
    <t>Alter_2</t>
  </si>
  <si>
    <t>Alter_3</t>
  </si>
  <si>
    <t>Alter_4</t>
  </si>
  <si>
    <t>Alter_5</t>
  </si>
  <si>
    <t>Alter_6</t>
  </si>
  <si>
    <t>Alter_7</t>
  </si>
  <si>
    <t>Alter_8</t>
  </si>
  <si>
    <t>Alter_9</t>
  </si>
  <si>
    <t>Alter_10</t>
  </si>
  <si>
    <t>Alter_11</t>
  </si>
  <si>
    <t>Alter_12</t>
  </si>
  <si>
    <t>Alter_13</t>
  </si>
  <si>
    <t>Alter_14</t>
  </si>
  <si>
    <t>Alter_15</t>
  </si>
  <si>
    <t>Alter_16</t>
  </si>
  <si>
    <t>Alter_17</t>
  </si>
  <si>
    <t>Alter_18</t>
  </si>
  <si>
    <t>Alter_19</t>
  </si>
  <si>
    <t>Toggler_1</t>
  </si>
  <si>
    <t>Line</t>
  </si>
  <si>
    <t>Line_1</t>
  </si>
  <si>
    <t>Toggler_2</t>
  </si>
  <si>
    <t>Line_2</t>
  </si>
  <si>
    <t>Toggler_3</t>
  </si>
  <si>
    <t>Line_3</t>
  </si>
  <si>
    <t>Toggler_4</t>
  </si>
  <si>
    <t>Line_4</t>
  </si>
  <si>
    <t>Toggler_5</t>
  </si>
  <si>
    <t>Line_5</t>
  </si>
  <si>
    <t>Toggler_6</t>
  </si>
  <si>
    <t>Line_6</t>
  </si>
  <si>
    <t>Toggler_7</t>
  </si>
  <si>
    <t>Line_7</t>
  </si>
  <si>
    <t>Toggler_8</t>
  </si>
  <si>
    <t>Line_8</t>
  </si>
  <si>
    <t>Toggler_9</t>
  </si>
  <si>
    <t>Line_9</t>
  </si>
  <si>
    <t>Toggler_10</t>
  </si>
  <si>
    <t>Line_10</t>
  </si>
  <si>
    <t>Toggler_11</t>
  </si>
  <si>
    <t>Line_11</t>
  </si>
  <si>
    <t>Toggler_12</t>
  </si>
  <si>
    <t>Line_12</t>
  </si>
  <si>
    <t>Toggler_13</t>
  </si>
  <si>
    <t>Line_13</t>
  </si>
  <si>
    <t>Toggler_14</t>
  </si>
  <si>
    <t>Line_14</t>
  </si>
  <si>
    <t>Toggler_15</t>
  </si>
  <si>
    <t>Line_15</t>
  </si>
  <si>
    <t>Toggler_16</t>
  </si>
  <si>
    <t>Line_16</t>
  </si>
  <si>
    <t>Toggler_17</t>
  </si>
  <si>
    <t>Line_17</t>
  </si>
  <si>
    <t>Toggler_18</t>
  </si>
  <si>
    <t>Line_18</t>
  </si>
  <si>
    <t>Toggler_19</t>
  </si>
  <si>
    <t>Line_19</t>
  </si>
  <si>
    <t>Toggler_20</t>
  </si>
  <si>
    <t>Line_20</t>
  </si>
  <si>
    <t>Toggler_21</t>
  </si>
  <si>
    <t>Line_21</t>
  </si>
  <si>
    <t>Toggler_22</t>
  </si>
  <si>
    <t>Line_22</t>
  </si>
  <si>
    <t>Toggler_23</t>
  </si>
  <si>
    <t>Line_23</t>
  </si>
  <si>
    <t>Toggler_24</t>
  </si>
  <si>
    <t>Line_24</t>
  </si>
  <si>
    <t>Toggler_25</t>
  </si>
  <si>
    <t>Line_25</t>
  </si>
  <si>
    <t>Toggler_26</t>
  </si>
  <si>
    <t>Line_26</t>
  </si>
  <si>
    <t>Toggler_27</t>
  </si>
  <si>
    <t>Line_27</t>
  </si>
  <si>
    <t>Toggler_28</t>
  </si>
  <si>
    <t>Line_28</t>
  </si>
  <si>
    <t>Toggler_29</t>
  </si>
  <si>
    <t>Line_29</t>
  </si>
  <si>
    <t>Toggler_30</t>
  </si>
  <si>
    <t>Line_30</t>
  </si>
  <si>
    <t>Toggler_31</t>
  </si>
  <si>
    <t>Line_31</t>
  </si>
  <si>
    <t>Toggler_32</t>
  </si>
  <si>
    <t>Line_32</t>
  </si>
  <si>
    <t>Toggler_33</t>
  </si>
  <si>
    <t>Line_33</t>
  </si>
  <si>
    <t>Toggler_34</t>
  </si>
  <si>
    <t>Line_34</t>
  </si>
  <si>
    <t>Toggler_35</t>
  </si>
  <si>
    <t>Line_35</t>
  </si>
  <si>
    <t>Toggler_36</t>
  </si>
  <si>
    <t>Line_36</t>
  </si>
  <si>
    <t>Toggler_37</t>
  </si>
  <si>
    <t>Line_37</t>
  </si>
  <si>
    <t>Toggler_38</t>
  </si>
  <si>
    <t>Line_38</t>
  </si>
  <si>
    <t>Toggler_39</t>
  </si>
  <si>
    <t>Line_39</t>
  </si>
  <si>
    <t>Toggler_40</t>
  </si>
  <si>
    <t>Line_40</t>
  </si>
  <si>
    <t>Toggler_41</t>
  </si>
  <si>
    <t>Line_41</t>
  </si>
  <si>
    <t>Toggler_42</t>
  </si>
  <si>
    <t>Line_42</t>
  </si>
  <si>
    <t>Toggler_43</t>
  </si>
  <si>
    <t>Line_43</t>
  </si>
  <si>
    <t>Toggler_44</t>
  </si>
  <si>
    <t>Line_44</t>
  </si>
  <si>
    <t>Toggler_45</t>
  </si>
  <si>
    <t>Line_45</t>
  </si>
  <si>
    <t>Toggler_46</t>
  </si>
  <si>
    <t>Line_46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</si>
  <si>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</si>
  <si>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</si>
  <si>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</si>
  <si>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</si>
  <si>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</si>
  <si>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</si>
  <si>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</si>
  <si>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</si>
  <si>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</si>
  <si>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</si>
  <si>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</si>
  <si>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</si>
  <si>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</si>
  <si>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</si>
  <si>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</si>
  <si>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</si>
  <si>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</si>
  <si>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</si>
  <si>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</si>
  <si>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</si>
  <si>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</si>
  <si>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</si>
  <si>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</si>
  <si>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</si>
  <si>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</si>
  <si>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</si>
  <si>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</si>
  <si>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</si>
  <si>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</si>
  <si>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</si>
  <si>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</si>
  <si>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</si>
  <si>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</si>
  <si>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</si>
  <si>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</si>
  <si>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</si>
  <si>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</si>
  <si>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</si>
  <si>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</si>
  <si>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</si>
  <si>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</si>
  <si>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</si>
  <si>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</si>
  <si>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</si>
  <si>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</si>
  <si>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</si>
  <si>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</si>
  <si>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</si>
  <si>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</si>
  <si>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</si>
  <si>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</si>
  <si>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</si>
  <si>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</si>
  <si>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</si>
  <si>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</si>
  <si>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</si>
  <si>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</si>
  <si>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</si>
  <si>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</si>
  <si>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</si>
  <si>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</si>
  <si>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</si>
  <si>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</si>
  <si>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</si>
  <si>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</si>
  <si>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</si>
  <si>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</si>
  <si>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</si>
  <si>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</si>
  <si>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</si>
  <si>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</si>
  <si>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</si>
  <si>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</si>
  <si>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</si>
  <si>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</si>
  <si>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</si>
  <si>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</si>
  <si>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</si>
  <si>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</si>
  <si>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</si>
  <si>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</si>
  <si>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</si>
  <si>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</si>
  <si>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</si>
  <si>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</si>
  <si>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</si>
  <si>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</si>
  <si>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</si>
  <si>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</si>
  <si>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</si>
  <si>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</si>
  <si>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</si>
  <si>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</si>
  <si>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</si>
  <si>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</si>
  <si>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</si>
  <si>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</si>
  <si>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AREA1</t>
  </si>
  <si>
    <t>AREA2</t>
  </si>
  <si>
    <t>AREA3</t>
  </si>
  <si>
    <t>AREA4</t>
  </si>
  <si>
    <t>gen</t>
  </si>
  <si>
    <t>rf</t>
  </si>
  <si>
    <t>xf</t>
  </si>
  <si>
    <t>Vdip</t>
  </si>
  <si>
    <t>Tfrz</t>
  </si>
  <si>
    <t>PQFLAG</t>
  </si>
  <si>
    <t>dwmax</t>
  </si>
  <si>
    <t>dwmin</t>
  </si>
  <si>
    <t>wdrp</t>
  </si>
  <si>
    <t>Qdrp</t>
  </si>
  <si>
    <t>Tr</t>
  </si>
  <si>
    <t>Te</t>
  </si>
  <si>
    <t>KPi</t>
  </si>
  <si>
    <t>KIi</t>
  </si>
  <si>
    <t>KPv</t>
  </si>
  <si>
    <t>KIv</t>
  </si>
  <si>
    <t>Pmax</t>
  </si>
  <si>
    <t>Pmin</t>
  </si>
  <si>
    <t>KPplim</t>
  </si>
  <si>
    <t>KIplim</t>
  </si>
  <si>
    <t>Qmax</t>
  </si>
  <si>
    <t>Qmin</t>
  </si>
  <si>
    <t>KPqlim</t>
  </si>
  <si>
    <t>KIqlim</t>
  </si>
  <si>
    <t>Tpm</t>
  </si>
  <si>
    <t>gammap</t>
  </si>
  <si>
    <t>gammaq</t>
  </si>
  <si>
    <t>mf</t>
  </si>
  <si>
    <t>dd</t>
  </si>
  <si>
    <t>pll</t>
  </si>
  <si>
    <t>REGF2_2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</si>
  <si>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</si>
  <si>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</si>
  <si>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</si>
  <si>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</si>
  <si>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</si>
  <si>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</si>
  <si>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</si>
  <si>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</si>
  <si>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</si>
  <si>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</si>
  <si>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</si>
  <si>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</si>
  <si>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</si>
  <si>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</si>
  <si>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</si>
  <si>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</si>
  <si>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</si>
  <si>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</si>
  <si>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</si>
  <si>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</si>
  <si>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</si>
  <si>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</si>
  <si>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</si>
  <si>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</si>
  <si>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</si>
  <si>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</si>
  <si>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</si>
  <si>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</si>
  <si>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</si>
  <si>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</si>
  <si>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</si>
  <si>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</si>
  <si>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</si>
  <si>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</si>
  <si>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</si>
  <si>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</si>
  <si>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</si>
  <si>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</si>
  <si>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</si>
  <si>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</si>
  <si>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</si>
  <si>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</si>
  <si>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</si>
  <si>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</si>
  <si>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</si>
  <si>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</si>
  <si>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</si>
  <si>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</si>
  <si>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</si>
  <si>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</si>
  <si>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</si>
  <si>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</si>
  <si>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</si>
  <si>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</si>
  <si>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</si>
  <si>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</si>
  <si>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</si>
  <si>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</si>
  <si>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</si>
  <si>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</si>
  <si>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</si>
  <si>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</si>
  <si>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</si>
  <si>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</si>
  <si>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</si>
  <si>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</si>
  <si>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</si>
  <si>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</si>
  <si>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</si>
  <si>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</si>
  <si>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</si>
  <si>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</si>
  <si>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</si>
  <si>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</si>
  <si>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</si>
  <si>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</si>
  <si>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</si>
  <si>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</si>
  <si>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</si>
  <si>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</si>
  <si>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</si>
  <si>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</si>
  <si>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</si>
  <si>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</si>
  <si>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</si>
  <si>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</si>
  <si>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</si>
  <si>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</si>
  <si>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BusFreq_1</t>
  </si>
  <si>
    <t>IEEEST_2</t>
  </si>
  <si>
    <t>BusFreq_3</t>
  </si>
  <si>
    <t>IEEEST_3</t>
  </si>
  <si>
    <t>BusFreq_4</t>
  </si>
  <si>
    <t>IEEEST_4</t>
  </si>
  <si>
    <t>BusFreq_5</t>
  </si>
  <si>
    <t>IEEEST_5</t>
  </si>
  <si>
    <t>BusFreq_6</t>
  </si>
  <si>
    <t>IEEEST_6</t>
  </si>
  <si>
    <t>BusFreq_7</t>
  </si>
  <si>
    <t>IEEEST_7</t>
  </si>
  <si>
    <t>BusFreq_8</t>
  </si>
  <si>
    <t>IEEEST_8</t>
  </si>
  <si>
    <t>BusFreq_9</t>
  </si>
  <si>
    <t>IEEEST_9</t>
  </si>
  <si>
    <t>BusFreq_10</t>
  </si>
  <si>
    <t>Tf</t>
  </si>
  <si>
    <t>Tw</t>
  </si>
  <si>
    <t>BusFreq_2</t>
  </si>
  <si>
    <t>BusROCOF_11</t>
  </si>
  <si>
    <t>BusROCOF_12</t>
  </si>
  <si>
    <t>BusROCOF_13</t>
  </si>
  <si>
    <t>BusROCOF_14</t>
  </si>
  <si>
    <t>BusROCOF_15</t>
  </si>
  <si>
    <t>BusROCOF_16</t>
  </si>
  <si>
    <t>BusROCOF_17</t>
  </si>
  <si>
    <t>BusROCOF_18</t>
  </si>
  <si>
    <t>BusROCOF_19</t>
  </si>
  <si>
    <t>BusROCOF_20</t>
  </si>
  <si>
    <t>COI_1</t>
  </si>
  <si>
    <t>COI_2</t>
  </si>
  <si>
    <t>COI_3</t>
  </si>
  <si>
    <t>COI_4</t>
  </si>
  <si>
    <t>bias</t>
  </si>
  <si>
    <t>ACE_1</t>
  </si>
  <si>
    <t>ACE_2</t>
  </si>
  <si>
    <t>ACE_3</t>
  </si>
  <si>
    <t>ACE_4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</si>
</sst>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color rgb="FF000000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53"/>
    <xf numFmtId="0" fontId="0" fillId="0" borderId="0" xfId="50"/>
    <xf numFmtId="0" fontId="2" fillId="0" borderId="0" xfId="0" applyFont="1" applyAlignment="1">
      <alignment horizontal="left" vertical="center"/>
    </xf>
    <xf numFmtId="0" fontId="0" fillId="0" borderId="0" xfId="52"/>
    <xf numFmtId="0" fontId="0" fillId="0" borderId="0" xfId="0" applyFont="1"/>
    <xf numFmtId="0" fontId="1" fillId="0" borderId="1" xfId="49" applyFont="1" applyBorder="1" applyAlignment="1">
      <alignment horizontal="center" vertical="top"/>
    </xf>
    <xf numFmtId="0" fontId="0" fillId="0" borderId="0" xfId="51"/>
    <xf numFmtId="0" fontId="0" fillId="0" borderId="0" xfId="49"/>
    <xf numFmtId="0" fontId="0" fillId="0" borderId="0" xfId="49" applyFont="1"/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2 7" xfId="50"/>
    <cellStyle name="Normal 2 8" xfId="51"/>
    <cellStyle name="Normal 4" xfId="52"/>
    <cellStyle name="Normal 6" xfId="5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workbookViewId="0">
      <selection activeCell="J23" sqref="J23"/>
    </sheetView>
  </sheetViews>
  <sheetFormatPr defaultColWidth="9" defaultRowHeight="13.5"/>
  <sheetData>
    <row r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>
      <c r="A2" s="7">
        <v>0</v>
      </c>
      <c r="B2" s="8">
        <v>1</v>
      </c>
      <c r="C2" s="8">
        <v>1</v>
      </c>
      <c r="D2" s="8" t="s">
        <v>14</v>
      </c>
      <c r="E2" s="8">
        <v>2</v>
      </c>
      <c r="F2" s="8" t="s">
        <v>15</v>
      </c>
      <c r="G2">
        <v>1</v>
      </c>
      <c r="H2" s="8" t="s">
        <v>16</v>
      </c>
      <c r="I2" s="8" t="s">
        <v>17</v>
      </c>
      <c r="J2" s="8" t="s">
        <v>18</v>
      </c>
      <c r="K2" s="8">
        <v>0</v>
      </c>
      <c r="L2" s="8">
        <v>0</v>
      </c>
      <c r="M2" s="8">
        <v>0</v>
      </c>
      <c r="N2" s="8">
        <v>0</v>
      </c>
    </row>
    <row r="3" spans="1:14">
      <c r="A3" s="7">
        <v>1</v>
      </c>
      <c r="B3" s="8">
        <v>2</v>
      </c>
      <c r="C3" s="9">
        <v>1</v>
      </c>
      <c r="D3" s="9" t="s">
        <v>19</v>
      </c>
      <c r="E3" s="9">
        <v>2</v>
      </c>
      <c r="F3" s="9" t="s">
        <v>15</v>
      </c>
      <c r="G3">
        <v>2</v>
      </c>
      <c r="H3" s="9" t="s">
        <v>16</v>
      </c>
      <c r="I3" s="9" t="s">
        <v>17</v>
      </c>
      <c r="J3" s="8" t="s">
        <v>18</v>
      </c>
      <c r="K3" s="9">
        <v>0</v>
      </c>
      <c r="L3" s="9">
        <v>0</v>
      </c>
      <c r="M3" s="9">
        <v>0</v>
      </c>
      <c r="N3" s="9">
        <v>0</v>
      </c>
    </row>
    <row r="4" spans="1:14">
      <c r="A4" s="7">
        <v>2</v>
      </c>
      <c r="B4" s="8">
        <v>3</v>
      </c>
      <c r="C4" s="8">
        <v>1</v>
      </c>
      <c r="D4" s="8" t="s">
        <v>20</v>
      </c>
      <c r="E4" s="8">
        <v>2</v>
      </c>
      <c r="F4" s="8" t="s">
        <v>15</v>
      </c>
      <c r="G4">
        <v>3</v>
      </c>
      <c r="H4" s="8" t="s">
        <v>16</v>
      </c>
      <c r="I4" s="8" t="s">
        <v>17</v>
      </c>
      <c r="J4" s="8" t="s">
        <v>18</v>
      </c>
      <c r="K4" s="8">
        <v>0</v>
      </c>
      <c r="L4" s="8">
        <v>0</v>
      </c>
      <c r="M4" s="8">
        <v>0</v>
      </c>
      <c r="N4" s="8">
        <v>0</v>
      </c>
    </row>
    <row r="5" spans="1:14">
      <c r="A5" s="7">
        <v>3</v>
      </c>
      <c r="B5" s="8">
        <v>4</v>
      </c>
      <c r="C5" s="9">
        <v>1</v>
      </c>
      <c r="D5" s="9" t="s">
        <v>21</v>
      </c>
      <c r="E5" s="9">
        <v>2</v>
      </c>
      <c r="F5" s="9" t="s">
        <v>15</v>
      </c>
      <c r="G5">
        <v>4</v>
      </c>
      <c r="H5" s="9" t="s">
        <v>16</v>
      </c>
      <c r="I5" s="9" t="s">
        <v>17</v>
      </c>
      <c r="J5" s="8" t="s">
        <v>18</v>
      </c>
      <c r="K5" s="9">
        <v>0</v>
      </c>
      <c r="L5" s="9">
        <v>0</v>
      </c>
      <c r="M5" s="9">
        <v>0</v>
      </c>
      <c r="N5" s="9">
        <v>0</v>
      </c>
    </row>
    <row r="6" spans="1:14">
      <c r="A6" s="7">
        <v>4</v>
      </c>
      <c r="B6" s="8">
        <v>5</v>
      </c>
      <c r="C6" s="8">
        <v>1</v>
      </c>
      <c r="D6" s="8" t="s">
        <v>22</v>
      </c>
      <c r="E6" s="8">
        <v>2</v>
      </c>
      <c r="F6" s="8" t="s">
        <v>15</v>
      </c>
      <c r="G6">
        <v>5</v>
      </c>
      <c r="H6" s="8" t="s">
        <v>16</v>
      </c>
      <c r="I6" s="8" t="s">
        <v>17</v>
      </c>
      <c r="J6" s="8" t="s">
        <v>18</v>
      </c>
      <c r="K6" s="8">
        <v>0</v>
      </c>
      <c r="L6" s="8">
        <v>0</v>
      </c>
      <c r="M6" s="8">
        <v>0</v>
      </c>
      <c r="N6" s="8">
        <v>0</v>
      </c>
    </row>
    <row r="7" spans="1:14">
      <c r="A7" s="7">
        <v>5</v>
      </c>
      <c r="B7" s="8">
        <v>6</v>
      </c>
      <c r="C7" s="9">
        <v>1</v>
      </c>
      <c r="D7" s="8" t="s">
        <v>23</v>
      </c>
      <c r="E7" s="9">
        <v>2</v>
      </c>
      <c r="F7" s="9" t="s">
        <v>15</v>
      </c>
      <c r="G7">
        <v>6</v>
      </c>
      <c r="H7" s="9" t="s">
        <v>16</v>
      </c>
      <c r="I7" s="9" t="s">
        <v>17</v>
      </c>
      <c r="J7" s="8" t="s">
        <v>18</v>
      </c>
      <c r="K7" s="9">
        <v>0</v>
      </c>
      <c r="L7" s="9">
        <v>0</v>
      </c>
      <c r="M7" s="9">
        <v>0</v>
      </c>
      <c r="N7" s="9">
        <v>0</v>
      </c>
    </row>
    <row r="8" spans="1:14">
      <c r="A8" s="7">
        <v>6</v>
      </c>
      <c r="B8" s="8">
        <v>7</v>
      </c>
      <c r="C8" s="8">
        <v>1</v>
      </c>
      <c r="D8" s="9" t="s">
        <v>24</v>
      </c>
      <c r="E8" s="8">
        <v>2</v>
      </c>
      <c r="F8" s="8" t="s">
        <v>15</v>
      </c>
      <c r="G8">
        <v>7</v>
      </c>
      <c r="H8" s="8" t="s">
        <v>16</v>
      </c>
      <c r="I8" s="8" t="s">
        <v>17</v>
      </c>
      <c r="J8" s="8" t="s">
        <v>18</v>
      </c>
      <c r="K8" s="8">
        <v>0</v>
      </c>
      <c r="L8" s="8">
        <v>0</v>
      </c>
      <c r="M8" s="8">
        <v>0</v>
      </c>
      <c r="N8" s="8">
        <v>0</v>
      </c>
    </row>
    <row r="9" spans="1:14">
      <c r="A9" s="7">
        <v>7</v>
      </c>
      <c r="B9" s="8">
        <v>8</v>
      </c>
      <c r="C9" s="9">
        <v>1</v>
      </c>
      <c r="D9" s="8" t="s">
        <v>25</v>
      </c>
      <c r="E9" s="9">
        <v>2</v>
      </c>
      <c r="F9" s="9" t="s">
        <v>15</v>
      </c>
      <c r="G9">
        <v>8</v>
      </c>
      <c r="H9" s="9" t="s">
        <v>16</v>
      </c>
      <c r="I9" s="9" t="s">
        <v>17</v>
      </c>
      <c r="J9" s="8" t="s">
        <v>18</v>
      </c>
      <c r="K9" s="9">
        <v>0</v>
      </c>
      <c r="L9" s="9">
        <v>0</v>
      </c>
      <c r="M9" s="9">
        <v>0</v>
      </c>
      <c r="N9" s="9">
        <v>0</v>
      </c>
    </row>
    <row r="10" spans="1:14">
      <c r="A10" s="7">
        <v>8</v>
      </c>
      <c r="B10" s="8">
        <v>9</v>
      </c>
      <c r="C10" s="8">
        <v>1</v>
      </c>
      <c r="D10" s="9" t="s">
        <v>26</v>
      </c>
      <c r="E10" s="8">
        <v>2</v>
      </c>
      <c r="F10" s="8" t="s">
        <v>15</v>
      </c>
      <c r="G10">
        <v>9</v>
      </c>
      <c r="H10" s="8" t="s">
        <v>16</v>
      </c>
      <c r="I10" s="8" t="s">
        <v>17</v>
      </c>
      <c r="J10" s="8" t="s">
        <v>18</v>
      </c>
      <c r="K10" s="8">
        <v>0</v>
      </c>
      <c r="L10" s="8">
        <v>0</v>
      </c>
      <c r="M10" s="8">
        <v>0</v>
      </c>
      <c r="N10" s="8">
        <v>0</v>
      </c>
    </row>
    <row r="11" spans="1:14">
      <c r="A11" s="7">
        <v>9</v>
      </c>
      <c r="B11" s="8">
        <v>10</v>
      </c>
      <c r="C11" s="9">
        <v>1</v>
      </c>
      <c r="D11" s="8" t="s">
        <v>27</v>
      </c>
      <c r="E11" s="9">
        <v>2</v>
      </c>
      <c r="F11" s="9" t="s">
        <v>15</v>
      </c>
      <c r="G11">
        <v>10</v>
      </c>
      <c r="H11" s="9" t="s">
        <v>16</v>
      </c>
      <c r="I11" s="9" t="s">
        <v>17</v>
      </c>
      <c r="J11" s="8" t="s">
        <v>18</v>
      </c>
      <c r="K11" s="9">
        <v>0</v>
      </c>
      <c r="L11" s="9">
        <v>0</v>
      </c>
      <c r="M11" s="9">
        <v>0</v>
      </c>
      <c r="N11" s="9">
        <v>0</v>
      </c>
    </row>
    <row r="12" spans="1:14">
      <c r="A12" s="7">
        <v>10</v>
      </c>
      <c r="B12" s="8">
        <v>11</v>
      </c>
      <c r="C12" s="8">
        <v>1</v>
      </c>
      <c r="D12" s="8" t="s">
        <v>28</v>
      </c>
      <c r="E12" s="8">
        <v>2</v>
      </c>
      <c r="F12" s="8" t="s">
        <v>15</v>
      </c>
      <c r="G12">
        <v>11</v>
      </c>
      <c r="H12" s="8" t="s">
        <v>16</v>
      </c>
      <c r="I12" s="8" t="s">
        <v>17</v>
      </c>
      <c r="J12" s="8" t="s">
        <v>18</v>
      </c>
      <c r="K12" s="8">
        <v>0</v>
      </c>
      <c r="L12" s="8">
        <v>0</v>
      </c>
      <c r="M12" s="8">
        <v>0</v>
      </c>
      <c r="N12" s="8">
        <v>0</v>
      </c>
    </row>
    <row r="13" spans="1:14">
      <c r="A13" s="7">
        <v>11</v>
      </c>
      <c r="B13" s="8">
        <v>12</v>
      </c>
      <c r="C13" s="9">
        <v>1</v>
      </c>
      <c r="D13" s="9" t="s">
        <v>29</v>
      </c>
      <c r="E13" s="9">
        <v>2</v>
      </c>
      <c r="F13" s="9" t="s">
        <v>15</v>
      </c>
      <c r="G13">
        <v>12</v>
      </c>
      <c r="H13" s="9" t="s">
        <v>16</v>
      </c>
      <c r="I13" s="9" t="s">
        <v>17</v>
      </c>
      <c r="J13" s="8" t="s">
        <v>18</v>
      </c>
      <c r="K13" s="9">
        <v>0</v>
      </c>
      <c r="L13" s="9">
        <v>0</v>
      </c>
      <c r="M13" s="9">
        <v>0</v>
      </c>
      <c r="N13" s="9">
        <v>0</v>
      </c>
    </row>
    <row r="14" spans="1:14">
      <c r="A14" s="7">
        <v>12</v>
      </c>
      <c r="B14" s="8">
        <v>13</v>
      </c>
      <c r="C14" s="8">
        <v>1</v>
      </c>
      <c r="D14" s="8" t="s">
        <v>30</v>
      </c>
      <c r="E14" s="8">
        <v>2</v>
      </c>
      <c r="F14" s="8" t="s">
        <v>15</v>
      </c>
      <c r="G14">
        <v>13</v>
      </c>
      <c r="H14" s="8" t="s">
        <v>16</v>
      </c>
      <c r="I14" s="8" t="s">
        <v>17</v>
      </c>
      <c r="J14" s="8" t="s">
        <v>18</v>
      </c>
      <c r="K14" s="8">
        <v>0</v>
      </c>
      <c r="L14" s="8">
        <v>0</v>
      </c>
      <c r="M14" s="8">
        <v>0</v>
      </c>
      <c r="N14" s="8">
        <v>0</v>
      </c>
    </row>
    <row r="15" spans="1:14">
      <c r="A15" s="7">
        <v>13</v>
      </c>
      <c r="B15" s="8">
        <v>14</v>
      </c>
      <c r="C15" s="9">
        <v>1</v>
      </c>
      <c r="D15" s="9" t="s">
        <v>31</v>
      </c>
      <c r="E15" s="9">
        <v>2</v>
      </c>
      <c r="F15" s="9" t="s">
        <v>15</v>
      </c>
      <c r="G15">
        <v>14</v>
      </c>
      <c r="H15" s="9" t="s">
        <v>16</v>
      </c>
      <c r="I15" s="9" t="s">
        <v>17</v>
      </c>
      <c r="J15" s="8" t="s">
        <v>18</v>
      </c>
      <c r="K15" s="9">
        <v>0</v>
      </c>
      <c r="L15" s="9">
        <v>0</v>
      </c>
      <c r="M15" s="9">
        <v>0</v>
      </c>
      <c r="N15" s="9">
        <v>0</v>
      </c>
    </row>
    <row r="16" spans="1:14">
      <c r="A16" s="7">
        <v>14</v>
      </c>
      <c r="B16" s="8">
        <v>15</v>
      </c>
      <c r="C16" s="8">
        <v>1</v>
      </c>
      <c r="D16" s="8" t="s">
        <v>32</v>
      </c>
      <c r="E16" s="8">
        <v>2</v>
      </c>
      <c r="F16" s="8" t="s">
        <v>15</v>
      </c>
      <c r="G16">
        <v>15</v>
      </c>
      <c r="H16" s="8" t="s">
        <v>16</v>
      </c>
      <c r="I16" s="8" t="s">
        <v>17</v>
      </c>
      <c r="J16" s="8" t="s">
        <v>18</v>
      </c>
      <c r="K16" s="8">
        <v>0</v>
      </c>
      <c r="L16" s="8">
        <v>0</v>
      </c>
      <c r="M16" s="8">
        <v>0</v>
      </c>
      <c r="N16" s="8">
        <v>0</v>
      </c>
    </row>
    <row r="17" spans="1:14">
      <c r="A17" s="7">
        <v>15</v>
      </c>
      <c r="B17" s="8">
        <v>16</v>
      </c>
      <c r="C17" s="9">
        <v>1</v>
      </c>
      <c r="D17" s="8" t="s">
        <v>33</v>
      </c>
      <c r="E17" s="9">
        <v>2</v>
      </c>
      <c r="F17" s="9" t="s">
        <v>15</v>
      </c>
      <c r="G17">
        <v>16</v>
      </c>
      <c r="H17" s="9" t="s">
        <v>16</v>
      </c>
      <c r="I17" s="9" t="s">
        <v>17</v>
      </c>
      <c r="J17" s="8" t="s">
        <v>18</v>
      </c>
      <c r="K17" s="9">
        <v>0</v>
      </c>
      <c r="L17" s="9">
        <v>0</v>
      </c>
      <c r="M17" s="9">
        <v>0</v>
      </c>
      <c r="N17" s="9">
        <v>0</v>
      </c>
    </row>
    <row r="18" spans="1:14">
      <c r="A18" s="7">
        <v>16</v>
      </c>
      <c r="B18" s="8">
        <v>17</v>
      </c>
      <c r="C18" s="8">
        <v>1</v>
      </c>
      <c r="D18" s="9" t="s">
        <v>34</v>
      </c>
      <c r="E18" s="8">
        <v>2</v>
      </c>
      <c r="F18" s="8" t="s">
        <v>15</v>
      </c>
      <c r="G18">
        <v>17</v>
      </c>
      <c r="H18" s="8" t="s">
        <v>16</v>
      </c>
      <c r="I18" s="8" t="s">
        <v>17</v>
      </c>
      <c r="J18" s="8" t="s">
        <v>18</v>
      </c>
      <c r="K18" s="8">
        <v>0</v>
      </c>
      <c r="L18" s="8">
        <v>0</v>
      </c>
      <c r="M18" s="8">
        <v>0</v>
      </c>
      <c r="N18" s="8">
        <v>0</v>
      </c>
    </row>
    <row r="19" spans="1:14">
      <c r="A19" s="7">
        <v>17</v>
      </c>
      <c r="B19" s="8">
        <v>18</v>
      </c>
      <c r="C19" s="9">
        <v>1</v>
      </c>
      <c r="D19" s="8" t="s">
        <v>35</v>
      </c>
      <c r="E19" s="9">
        <v>2</v>
      </c>
      <c r="F19" s="9" t="s">
        <v>15</v>
      </c>
      <c r="G19">
        <v>18</v>
      </c>
      <c r="H19" s="9" t="s">
        <v>16</v>
      </c>
      <c r="I19" s="9" t="s">
        <v>17</v>
      </c>
      <c r="J19" s="8" t="s">
        <v>18</v>
      </c>
      <c r="K19" s="9">
        <v>0</v>
      </c>
      <c r="L19" s="9">
        <v>0</v>
      </c>
      <c r="M19" s="9">
        <v>0</v>
      </c>
      <c r="N19" s="9">
        <v>0</v>
      </c>
    </row>
    <row r="20" spans="1:14">
      <c r="A20" s="7">
        <v>18</v>
      </c>
      <c r="B20" s="8">
        <v>19</v>
      </c>
      <c r="C20" s="8">
        <v>1</v>
      </c>
      <c r="D20" s="9" t="s">
        <v>36</v>
      </c>
      <c r="E20" s="8">
        <v>2</v>
      </c>
      <c r="F20" s="8" t="s">
        <v>15</v>
      </c>
      <c r="G20">
        <v>19</v>
      </c>
      <c r="H20" s="8" t="s">
        <v>16</v>
      </c>
      <c r="I20" s="8" t="s">
        <v>17</v>
      </c>
      <c r="J20" s="8" t="s">
        <v>18</v>
      </c>
      <c r="K20" s="8">
        <v>0</v>
      </c>
      <c r="L20" s="8">
        <v>0</v>
      </c>
      <c r="M20" s="8">
        <v>0</v>
      </c>
      <c r="N20" s="8">
        <v>0</v>
      </c>
    </row>
    <row r="21" spans="1:14">
      <c r="A21" s="8"/>
      <c r="B21" s="8"/>
      <c r="C21" s="9"/>
      <c r="D21" s="8"/>
      <c r="E21" s="9"/>
      <c r="F21" s="9"/>
      <c r="G21"/>
      <c r="H21" s="9"/>
      <c r="I21" s="9"/>
      <c r="J21" s="10"/>
      <c r="K21" s="9"/>
      <c r="L21" s="9"/>
      <c r="M21" s="9"/>
      <c r="N21" s="9"/>
    </row>
    <row r="22" spans="1:14">
      <c r="A22" s="8"/>
      <c r="B22" s="8"/>
      <c r="C22" s="8"/>
      <c r="D22" s="8"/>
      <c r="E22" s="8"/>
      <c r="F22" s="8"/>
      <c r="G22"/>
      <c r="H22" s="8"/>
      <c r="I22" s="8"/>
      <c r="J22" s="8"/>
      <c r="K22" s="8"/>
      <c r="L22" s="8"/>
      <c r="M22" s="8"/>
      <c r="N22" s="8"/>
    </row>
    <row r="23" spans="1:14">
      <c r="A23" s="8"/>
      <c r="B23" s="8"/>
      <c r="C23" s="9"/>
      <c r="D23" s="9"/>
      <c r="E23" s="9"/>
      <c r="F23" s="9"/>
      <c r="G23"/>
      <c r="H23" s="9"/>
      <c r="I23" s="9"/>
      <c r="J23" s="10"/>
      <c r="K23" s="9"/>
      <c r="L23" s="9"/>
      <c r="M23" s="9"/>
      <c r="N23" s="9"/>
    </row>
    <row r="24" spans="1:14">
      <c r="A24" s="8"/>
      <c r="B24" s="8"/>
      <c r="C24" s="8"/>
      <c r="D24" s="8"/>
      <c r="E24" s="8"/>
      <c r="F24" s="8"/>
      <c r="G24"/>
      <c r="H24" s="8"/>
      <c r="I24" s="8"/>
      <c r="J24" s="8"/>
      <c r="K24" s="8"/>
      <c r="L24" s="8"/>
      <c r="M24" s="8"/>
      <c r="N24" s="8"/>
    </row>
    <row r="25" spans="1:14">
      <c r="A25" s="8"/>
      <c r="B25" s="8"/>
      <c r="C25" s="9"/>
      <c r="D25" s="9"/>
      <c r="E25" s="9"/>
      <c r="F25" s="9"/>
      <c r="G25"/>
      <c r="H25" s="9"/>
      <c r="I25" s="9"/>
      <c r="J25" s="10"/>
      <c r="K25" s="9"/>
      <c r="L25" s="9"/>
      <c r="M25" s="9"/>
      <c r="N25" s="9"/>
    </row>
    <row r="26" spans="1:14">
      <c r="A26" s="8"/>
      <c r="B26" s="8"/>
      <c r="C26" s="8"/>
      <c r="D26" s="8"/>
      <c r="E26" s="8"/>
      <c r="F26" s="8"/>
      <c r="G26"/>
      <c r="H26" s="8"/>
      <c r="I26" s="8"/>
      <c r="J26" s="8"/>
      <c r="K26" s="8"/>
      <c r="L26" s="8"/>
      <c r="M26" s="8"/>
      <c r="N26" s="8"/>
    </row>
    <row r="27" spans="1:14">
      <c r="A27" s="8"/>
      <c r="B27" s="8"/>
      <c r="C27" s="9"/>
      <c r="D27" s="8"/>
      <c r="E27" s="9"/>
      <c r="F27" s="9"/>
      <c r="G27"/>
      <c r="H27" s="9"/>
      <c r="I27" s="9"/>
      <c r="J27" s="10"/>
      <c r="K27" s="9"/>
      <c r="L27" s="9"/>
      <c r="M27" s="9"/>
      <c r="N27" s="9"/>
    </row>
    <row r="28" spans="1:14">
      <c r="A28" s="8"/>
      <c r="B28" s="8"/>
      <c r="C28" s="8"/>
      <c r="D28" s="9"/>
      <c r="E28" s="8"/>
      <c r="F28" s="8"/>
      <c r="G28"/>
      <c r="H28" s="8"/>
      <c r="I28" s="8"/>
      <c r="J28" s="8"/>
      <c r="K28" s="8"/>
      <c r="L28" s="8"/>
      <c r="M28" s="8"/>
      <c r="N28" s="8"/>
    </row>
    <row r="29" spans="1:14">
      <c r="A29" s="8"/>
      <c r="B29" s="8"/>
      <c r="C29" s="9"/>
      <c r="D29" s="8"/>
      <c r="E29" s="9"/>
      <c r="F29" s="9"/>
      <c r="G29"/>
      <c r="H29" s="9"/>
      <c r="I29" s="9"/>
      <c r="J29" s="10"/>
      <c r="K29" s="9"/>
      <c r="L29" s="9"/>
      <c r="M29" s="9"/>
      <c r="N29" s="9"/>
    </row>
    <row r="30" spans="1:14">
      <c r="A30" s="8"/>
      <c r="B30" s="8"/>
      <c r="C30" s="8"/>
      <c r="D30" s="9"/>
      <c r="E30" s="8"/>
      <c r="F30" s="8"/>
      <c r="G30"/>
      <c r="H30" s="8"/>
      <c r="I30" s="8"/>
      <c r="J30" s="8"/>
      <c r="K30" s="8"/>
      <c r="L30" s="8"/>
      <c r="M30" s="8"/>
      <c r="N30" s="8"/>
    </row>
    <row r="31" spans="1:14">
      <c r="A31" s="8"/>
      <c r="B31" s="8"/>
      <c r="C31" s="9"/>
      <c r="D31" s="8"/>
      <c r="E31" s="9"/>
      <c r="F31" s="9"/>
      <c r="G31"/>
      <c r="H31" s="9"/>
      <c r="I31" s="9"/>
      <c r="J31" s="10"/>
      <c r="K31" s="9"/>
      <c r="L31" s="9"/>
      <c r="M31" s="9"/>
      <c r="N31" s="9"/>
    </row>
    <row r="32" spans="1:14">
      <c r="A32" s="8"/>
      <c r="B32" s="8"/>
      <c r="C32" s="8"/>
      <c r="D32" s="8"/>
      <c r="E32" s="8"/>
      <c r="F32" s="8"/>
      <c r="G32"/>
      <c r="H32" s="8"/>
      <c r="I32" s="8"/>
      <c r="J32" s="8"/>
      <c r="K32" s="8"/>
      <c r="L32" s="8"/>
      <c r="M32" s="8"/>
      <c r="N32" s="8"/>
    </row>
    <row r="33" spans="1:14">
      <c r="A33" s="8"/>
      <c r="B33" s="8"/>
      <c r="C33" s="9"/>
      <c r="D33" s="9"/>
      <c r="E33" s="9"/>
      <c r="F33" s="9"/>
      <c r="G33"/>
      <c r="H33" s="9"/>
      <c r="I33" s="9"/>
      <c r="J33" s="10"/>
      <c r="K33" s="9"/>
      <c r="L33" s="9"/>
      <c r="M33" s="9"/>
      <c r="N33" s="9"/>
    </row>
    <row r="34" spans="1:14">
      <c r="A34" s="8"/>
      <c r="B34" s="8"/>
      <c r="C34" s="8"/>
      <c r="D34" s="8"/>
      <c r="E34" s="8"/>
      <c r="F34" s="8"/>
      <c r="G34"/>
      <c r="H34" s="8"/>
      <c r="I34" s="8"/>
      <c r="J34" s="8"/>
      <c r="K34" s="8"/>
      <c r="L34" s="8"/>
      <c r="M34" s="8"/>
      <c r="N34" s="8"/>
    </row>
    <row r="35" spans="1:14">
      <c r="A35" s="8"/>
      <c r="B35" s="8"/>
      <c r="C35" s="9"/>
      <c r="D35" s="9"/>
      <c r="E35" s="9"/>
      <c r="F35" s="9"/>
      <c r="G35"/>
      <c r="H35" s="9"/>
      <c r="I35" s="9"/>
      <c r="J35" s="10"/>
      <c r="K35" s="9"/>
      <c r="L35" s="9"/>
      <c r="M35" s="9"/>
      <c r="N35" s="9"/>
    </row>
    <row r="36" spans="1:14">
      <c r="A36" s="8"/>
      <c r="B36" s="8"/>
      <c r="C36" s="8"/>
      <c r="D36" s="8"/>
      <c r="E36" s="8"/>
      <c r="F36" s="8"/>
      <c r="G36"/>
      <c r="H36" s="8"/>
      <c r="I36" s="8"/>
      <c r="J36" s="8"/>
      <c r="K36" s="8"/>
      <c r="L36" s="8"/>
      <c r="M36" s="8"/>
      <c r="N36" s="8"/>
    </row>
    <row r="37" spans="1:14">
      <c r="A37" s="8"/>
      <c r="B37" s="8"/>
      <c r="C37" s="9"/>
      <c r="D37" s="8"/>
      <c r="E37" s="9"/>
      <c r="F37" s="9"/>
      <c r="G37"/>
      <c r="H37" s="9"/>
      <c r="I37" s="9"/>
      <c r="J37" s="10"/>
      <c r="K37" s="9"/>
      <c r="L37" s="9"/>
      <c r="M37" s="9"/>
      <c r="N37" s="9"/>
    </row>
    <row r="38" spans="1:14">
      <c r="A38" s="8"/>
      <c r="B38" s="8"/>
      <c r="C38" s="8"/>
      <c r="D38" s="9"/>
      <c r="E38" s="8"/>
      <c r="F38" s="8"/>
      <c r="G38"/>
      <c r="H38" s="8"/>
      <c r="I38" s="8"/>
      <c r="J38" s="8"/>
      <c r="K38" s="8"/>
      <c r="L38" s="8"/>
      <c r="M38" s="8"/>
      <c r="N38" s="8"/>
    </row>
    <row r="39" spans="1:14">
      <c r="A39" s="8"/>
      <c r="B39" s="8"/>
      <c r="C39" s="9"/>
      <c r="D39" s="8"/>
      <c r="E39" s="9"/>
      <c r="F39" s="9"/>
      <c r="G39"/>
      <c r="H39" s="9"/>
      <c r="I39" s="9"/>
      <c r="J39" s="10"/>
      <c r="K39" s="9"/>
      <c r="L39" s="9"/>
      <c r="M39" s="9"/>
      <c r="N39" s="9"/>
    </row>
    <row r="40" spans="1:14">
      <c r="A40" s="8"/>
      <c r="B40" s="8"/>
      <c r="C40" s="8"/>
      <c r="D40" s="9"/>
      <c r="E40" s="8"/>
      <c r="F40" s="8"/>
      <c r="G40"/>
      <c r="H40" s="8"/>
      <c r="I40" s="8"/>
      <c r="J40" s="8"/>
      <c r="K40" s="8"/>
      <c r="L40" s="8"/>
      <c r="M40" s="8"/>
      <c r="N40" s="8"/>
    </row>
    <row r="41" spans="1:14">
      <c r="A41" s="8"/>
      <c r="B41" s="8"/>
      <c r="C41" s="9"/>
      <c r="D41" s="8"/>
      <c r="E41" s="9"/>
      <c r="F41" s="9"/>
      <c r="G41"/>
      <c r="H41" s="9"/>
      <c r="I41" s="9"/>
      <c r="J41" s="10"/>
      <c r="K41" s="9"/>
      <c r="L41" s="9"/>
      <c r="M41" s="9"/>
      <c r="N41" s="9"/>
    </row>
    <row r="42" spans="1:14">
      <c r="A42" s="8"/>
      <c r="B42" s="8"/>
      <c r="C42" s="8"/>
      <c r="D42" s="8"/>
      <c r="E42" s="8"/>
      <c r="F42" s="8"/>
      <c r="G42"/>
      <c r="H42" s="8"/>
      <c r="I42" s="8"/>
      <c r="J42" s="8"/>
      <c r="K42" s="8"/>
      <c r="L42" s="8"/>
      <c r="M42" s="8"/>
      <c r="N42" s="8"/>
    </row>
    <row r="43" spans="1:14">
      <c r="A43" s="8"/>
      <c r="B43" s="8"/>
      <c r="C43" s="9"/>
      <c r="D43" s="9"/>
      <c r="E43" s="9"/>
      <c r="F43" s="9"/>
      <c r="G43"/>
      <c r="H43" s="9"/>
      <c r="I43" s="9"/>
      <c r="J43" s="10"/>
      <c r="K43" s="9"/>
      <c r="L43" s="9"/>
      <c r="M43" s="9"/>
      <c r="N43" s="9"/>
    </row>
    <row r="44" spans="1:14">
      <c r="A44" s="8"/>
      <c r="B44" s="8"/>
      <c r="C44" s="8"/>
      <c r="D44" s="8"/>
      <c r="E44" s="8"/>
      <c r="F44" s="8"/>
      <c r="G44"/>
      <c r="H44" s="8"/>
      <c r="I44" s="8"/>
      <c r="J44" s="8"/>
      <c r="K44" s="8"/>
      <c r="L44" s="8"/>
      <c r="M44" s="8"/>
      <c r="N44" s="8"/>
    </row>
    <row r="45" spans="1:14">
      <c r="A45" s="8"/>
      <c r="B45" s="8"/>
      <c r="C45" s="9"/>
      <c r="D45" s="9"/>
      <c r="E45" s="9"/>
      <c r="F45" s="9"/>
      <c r="G45"/>
      <c r="H45" s="9"/>
      <c r="I45" s="9"/>
      <c r="J45" s="10"/>
      <c r="K45" s="9"/>
      <c r="L45" s="9"/>
      <c r="M45" s="9"/>
      <c r="N45" s="9"/>
    </row>
    <row r="46" spans="1:14">
      <c r="A46" s="8"/>
      <c r="B46" s="8"/>
      <c r="C46" s="8"/>
      <c r="D46" s="8"/>
      <c r="E46" s="8"/>
      <c r="F46" s="8"/>
      <c r="G46"/>
      <c r="H46" s="8"/>
      <c r="I46" s="8"/>
      <c r="J46" s="8"/>
      <c r="K46" s="8"/>
      <c r="L46" s="8"/>
      <c r="M46" s="8"/>
      <c r="N46" s="8"/>
    </row>
    <row r="47" spans="1:14">
      <c r="A47" s="8"/>
      <c r="B47" s="8"/>
      <c r="C47" s="9"/>
      <c r="D47" s="8"/>
      <c r="E47" s="9"/>
      <c r="F47" s="9"/>
      <c r="G47"/>
      <c r="H47" s="9"/>
      <c r="I47" s="9"/>
      <c r="J47" s="10"/>
      <c r="K47" s="9"/>
      <c r="L47" s="9"/>
      <c r="M47" s="9"/>
      <c r="N47" s="9"/>
    </row>
    <row r="48" spans="1:14">
      <c r="A48" s="8"/>
      <c r="B48" s="8"/>
      <c r="C48" s="8"/>
      <c r="D48" s="9"/>
      <c r="E48" s="8"/>
      <c r="F48" s="8"/>
      <c r="G48"/>
      <c r="H48" s="8"/>
      <c r="I48" s="8"/>
      <c r="J48" s="8"/>
      <c r="K48" s="8"/>
      <c r="L48" s="8"/>
      <c r="M48" s="8"/>
      <c r="N48" s="8"/>
    </row>
    <row r="49" spans="1:14">
      <c r="A49" s="8"/>
      <c r="B49" s="8"/>
      <c r="C49" s="9"/>
      <c r="D49" s="8"/>
      <c r="E49" s="9"/>
      <c r="F49" s="9"/>
      <c r="G49"/>
      <c r="H49" s="9"/>
      <c r="I49" s="9"/>
      <c r="J49" s="10"/>
      <c r="K49" s="9"/>
      <c r="L49" s="9"/>
      <c r="M49" s="9"/>
      <c r="N49" s="9"/>
    </row>
    <row r="50" spans="1:14">
      <c r="A50" s="8"/>
      <c r="B50" s="8"/>
      <c r="C50" s="8"/>
      <c r="D50" s="9"/>
      <c r="E50" s="8"/>
      <c r="F50" s="8"/>
      <c r="G50"/>
      <c r="H50" s="8"/>
      <c r="I50" s="8"/>
      <c r="J50" s="8"/>
      <c r="K50" s="8"/>
      <c r="L50" s="8"/>
      <c r="M50" s="8"/>
      <c r="N50" s="8"/>
    </row>
    <row r="51" spans="1:14">
      <c r="A51" s="8"/>
      <c r="B51" s="8"/>
      <c r="C51" s="9"/>
      <c r="D51" s="8"/>
      <c r="E51" s="9"/>
      <c r="F51" s="9"/>
      <c r="G51"/>
      <c r="H51" s="9"/>
      <c r="I51" s="9"/>
      <c r="J51" s="10"/>
      <c r="K51" s="9"/>
      <c r="L51" s="9"/>
      <c r="M51" s="9"/>
      <c r="N51" s="9"/>
    </row>
    <row r="52" spans="1:2">
      <c r="A52" s="8"/>
      <c r="B52" s="8"/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1"/>
  <sheetViews>
    <sheetView tabSelected="1" topLeftCell="A10" workbookViewId="0">
      <selection activeCell="K31" sqref="K31"/>
    </sheetView>
  </sheetViews>
  <sheetFormatPr defaultColWidth="9" defaultRowHeight="13.5" outlineLevelCol="6"/>
  <cols>
    <col min="4" max="5" width="11.375" customWidth="1"/>
    <col min="6" max="6" width="15.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</row>
    <row r="2" spans="1:7">
      <c r="A2" s="1">
        <v>0</v>
      </c>
      <c r="B2">
        <v>20</v>
      </c>
      <c r="C2">
        <v>0</v>
      </c>
      <c r="D2" t="s">
        <v>37</v>
      </c>
      <c r="E2" t="s">
        <v>38</v>
      </c>
      <c r="F2" t="s">
        <v>39</v>
      </c>
      <c r="G2">
        <v>2</v>
      </c>
    </row>
    <row r="3" spans="1:7">
      <c r="A3" s="1">
        <v>1</v>
      </c>
      <c r="B3">
        <v>21</v>
      </c>
      <c r="C3">
        <v>0</v>
      </c>
      <c r="D3" t="s">
        <v>40</v>
      </c>
      <c r="E3" t="s">
        <v>38</v>
      </c>
      <c r="F3" t="s">
        <v>41</v>
      </c>
      <c r="G3">
        <v>2</v>
      </c>
    </row>
    <row r="4" spans="1:7">
      <c r="A4" s="1">
        <v>2</v>
      </c>
      <c r="B4">
        <v>22</v>
      </c>
      <c r="C4">
        <v>0</v>
      </c>
      <c r="D4" s="5" t="s">
        <v>42</v>
      </c>
      <c r="E4" t="s">
        <v>38</v>
      </c>
      <c r="F4" t="s">
        <v>43</v>
      </c>
      <c r="G4">
        <v>2</v>
      </c>
    </row>
    <row r="5" spans="1:7">
      <c r="A5" s="1">
        <v>3</v>
      </c>
      <c r="B5">
        <v>23</v>
      </c>
      <c r="C5">
        <v>0</v>
      </c>
      <c r="D5" t="s">
        <v>44</v>
      </c>
      <c r="E5" t="s">
        <v>38</v>
      </c>
      <c r="F5" t="s">
        <v>45</v>
      </c>
      <c r="G5">
        <v>2</v>
      </c>
    </row>
    <row r="6" spans="1:7">
      <c r="A6" s="1">
        <v>4</v>
      </c>
      <c r="B6">
        <v>24</v>
      </c>
      <c r="C6">
        <v>0</v>
      </c>
      <c r="D6" t="s">
        <v>46</v>
      </c>
      <c r="E6" t="s">
        <v>38</v>
      </c>
      <c r="F6" t="s">
        <v>47</v>
      </c>
      <c r="G6">
        <v>2</v>
      </c>
    </row>
    <row r="7" spans="1:7">
      <c r="A7" s="1">
        <v>5</v>
      </c>
      <c r="B7">
        <v>25</v>
      </c>
      <c r="C7">
        <v>0</v>
      </c>
      <c r="D7" t="s">
        <v>48</v>
      </c>
      <c r="E7" t="s">
        <v>38</v>
      </c>
      <c r="F7" t="s">
        <v>49</v>
      </c>
      <c r="G7">
        <v>2</v>
      </c>
    </row>
    <row r="8" spans="1:7">
      <c r="A8" s="1">
        <v>6</v>
      </c>
      <c r="B8">
        <v>26</v>
      </c>
      <c r="C8">
        <v>0</v>
      </c>
      <c r="D8" s="5" t="s">
        <v>50</v>
      </c>
      <c r="E8" t="s">
        <v>38</v>
      </c>
      <c r="F8" t="s">
        <v>51</v>
      </c>
      <c r="G8">
        <v>2</v>
      </c>
    </row>
    <row r="9" spans="1:7">
      <c r="A9" s="1">
        <v>7</v>
      </c>
      <c r="B9">
        <v>27</v>
      </c>
      <c r="C9">
        <v>0</v>
      </c>
      <c r="D9" t="s">
        <v>52</v>
      </c>
      <c r="E9" t="s">
        <v>38</v>
      </c>
      <c r="F9" t="s">
        <v>53</v>
      </c>
      <c r="G9">
        <v>2</v>
      </c>
    </row>
    <row r="10" spans="1:7">
      <c r="A10" s="1">
        <v>8</v>
      </c>
      <c r="B10">
        <v>28</v>
      </c>
      <c r="C10">
        <v>0</v>
      </c>
      <c r="D10" s="5" t="s">
        <v>54</v>
      </c>
      <c r="E10" t="s">
        <v>38</v>
      </c>
      <c r="F10" t="s">
        <v>55</v>
      </c>
      <c r="G10">
        <v>2</v>
      </c>
    </row>
    <row r="11" spans="1:7">
      <c r="A11" s="1">
        <v>9</v>
      </c>
      <c r="B11">
        <v>29</v>
      </c>
      <c r="C11">
        <v>0</v>
      </c>
      <c r="D11" s="5" t="s">
        <v>56</v>
      </c>
      <c r="E11" t="s">
        <v>38</v>
      </c>
      <c r="F11" t="s">
        <v>57</v>
      </c>
      <c r="G11">
        <v>2</v>
      </c>
    </row>
    <row r="12" spans="1:7">
      <c r="A12" s="1">
        <v>10</v>
      </c>
      <c r="B12">
        <v>30</v>
      </c>
      <c r="C12">
        <v>0</v>
      </c>
      <c r="D12" t="s">
        <v>58</v>
      </c>
      <c r="E12" t="s">
        <v>38</v>
      </c>
      <c r="F12" t="s">
        <v>59</v>
      </c>
      <c r="G12">
        <v>2</v>
      </c>
    </row>
    <row r="13" spans="1:7">
      <c r="A13" s="1">
        <v>11</v>
      </c>
      <c r="B13">
        <v>31</v>
      </c>
      <c r="C13">
        <v>0</v>
      </c>
      <c r="D13" t="s">
        <v>60</v>
      </c>
      <c r="E13" t="s">
        <v>38</v>
      </c>
      <c r="F13" t="s">
        <v>61</v>
      </c>
      <c r="G13">
        <v>2</v>
      </c>
    </row>
    <row r="14" spans="1:7">
      <c r="A14" s="1">
        <v>12</v>
      </c>
      <c r="B14">
        <v>32</v>
      </c>
      <c r="C14">
        <v>0</v>
      </c>
      <c r="D14" s="5" t="s">
        <v>62</v>
      </c>
      <c r="E14" t="s">
        <v>38</v>
      </c>
      <c r="F14" t="s">
        <v>63</v>
      </c>
      <c r="G14">
        <v>2</v>
      </c>
    </row>
    <row r="15" spans="1:7">
      <c r="A15" s="1">
        <v>13</v>
      </c>
      <c r="B15">
        <v>33</v>
      </c>
      <c r="C15">
        <v>0</v>
      </c>
      <c r="D15" t="s">
        <v>64</v>
      </c>
      <c r="E15" t="s">
        <v>38</v>
      </c>
      <c r="F15" t="s">
        <v>65</v>
      </c>
      <c r="G15">
        <v>2</v>
      </c>
    </row>
    <row r="16" spans="1:7">
      <c r="A16" s="1">
        <v>14</v>
      </c>
      <c r="B16">
        <v>34</v>
      </c>
      <c r="C16">
        <v>0</v>
      </c>
      <c r="D16" t="s">
        <v>66</v>
      </c>
      <c r="E16" t="s">
        <v>38</v>
      </c>
      <c r="F16" t="s">
        <v>67</v>
      </c>
      <c r="G16">
        <v>2</v>
      </c>
    </row>
    <row r="17" spans="1:7">
      <c r="A17" s="1">
        <v>15</v>
      </c>
      <c r="B17">
        <v>35</v>
      </c>
      <c r="C17">
        <v>0</v>
      </c>
      <c r="D17" t="s">
        <v>68</v>
      </c>
      <c r="E17" t="s">
        <v>38</v>
      </c>
      <c r="F17" t="s">
        <v>69</v>
      </c>
      <c r="G17">
        <v>2</v>
      </c>
    </row>
    <row r="18" spans="1:7">
      <c r="A18" s="1">
        <v>16</v>
      </c>
      <c r="B18">
        <v>36</v>
      </c>
      <c r="C18">
        <v>0</v>
      </c>
      <c r="D18" s="5" t="s">
        <v>70</v>
      </c>
      <c r="E18" t="s">
        <v>38</v>
      </c>
      <c r="F18" t="s">
        <v>71</v>
      </c>
      <c r="G18">
        <v>2</v>
      </c>
    </row>
    <row r="19" spans="1:7">
      <c r="A19" s="1">
        <v>17</v>
      </c>
      <c r="B19">
        <v>37</v>
      </c>
      <c r="C19">
        <v>0</v>
      </c>
      <c r="D19" t="s">
        <v>72</v>
      </c>
      <c r="E19" t="s">
        <v>38</v>
      </c>
      <c r="F19" t="s">
        <v>73</v>
      </c>
      <c r="G19">
        <v>2</v>
      </c>
    </row>
    <row r="20" spans="1:7">
      <c r="A20" s="1">
        <v>18</v>
      </c>
      <c r="B20">
        <v>38</v>
      </c>
      <c r="C20">
        <v>0</v>
      </c>
      <c r="D20" s="5" t="s">
        <v>74</v>
      </c>
      <c r="E20" t="s">
        <v>38</v>
      </c>
      <c r="F20" t="s">
        <v>75</v>
      </c>
      <c r="G20">
        <v>2</v>
      </c>
    </row>
    <row r="21" spans="1:7">
      <c r="A21" s="1">
        <v>19</v>
      </c>
      <c r="B21">
        <v>39</v>
      </c>
      <c r="C21">
        <v>0</v>
      </c>
      <c r="D21" s="5" t="s">
        <v>76</v>
      </c>
      <c r="E21" t="s">
        <v>38</v>
      </c>
      <c r="F21" t="s">
        <v>77</v>
      </c>
      <c r="G21">
        <v>2</v>
      </c>
    </row>
    <row r="22" spans="1:7">
      <c r="A22" s="1">
        <v>20</v>
      </c>
      <c r="B22">
        <v>40</v>
      </c>
      <c r="C22">
        <v>0</v>
      </c>
      <c r="D22" t="s">
        <v>78</v>
      </c>
      <c r="E22" t="s">
        <v>38</v>
      </c>
      <c r="F22" t="s">
        <v>79</v>
      </c>
      <c r="G22">
        <v>2</v>
      </c>
    </row>
    <row r="23" spans="1:7">
      <c r="A23" s="1">
        <v>21</v>
      </c>
      <c r="B23">
        <v>41</v>
      </c>
      <c r="C23">
        <v>0</v>
      </c>
      <c r="D23" t="s">
        <v>80</v>
      </c>
      <c r="E23" t="s">
        <v>38</v>
      </c>
      <c r="F23" t="s">
        <v>81</v>
      </c>
      <c r="G23">
        <v>2</v>
      </c>
    </row>
    <row r="24" spans="1:7">
      <c r="A24" s="1">
        <v>22</v>
      </c>
      <c r="B24">
        <v>42</v>
      </c>
      <c r="C24">
        <v>0</v>
      </c>
      <c r="D24" s="5" t="s">
        <v>82</v>
      </c>
      <c r="E24" t="s">
        <v>38</v>
      </c>
      <c r="F24" t="s">
        <v>83</v>
      </c>
      <c r="G24">
        <v>2</v>
      </c>
    </row>
    <row r="25" spans="1:7">
      <c r="A25" s="1">
        <v>23</v>
      </c>
      <c r="B25">
        <v>43</v>
      </c>
      <c r="C25">
        <v>0</v>
      </c>
      <c r="D25" t="s">
        <v>84</v>
      </c>
      <c r="E25" t="s">
        <v>38</v>
      </c>
      <c r="F25" t="s">
        <v>85</v>
      </c>
      <c r="G25">
        <v>2</v>
      </c>
    </row>
    <row r="26" spans="1:7">
      <c r="A26" s="1">
        <v>24</v>
      </c>
      <c r="B26">
        <v>44</v>
      </c>
      <c r="C26">
        <v>0</v>
      </c>
      <c r="D26" t="s">
        <v>86</v>
      </c>
      <c r="E26" t="s">
        <v>38</v>
      </c>
      <c r="F26" t="s">
        <v>87</v>
      </c>
      <c r="G26">
        <v>2</v>
      </c>
    </row>
    <row r="27" spans="1:7">
      <c r="A27" s="1">
        <v>25</v>
      </c>
      <c r="B27">
        <v>45</v>
      </c>
      <c r="C27">
        <v>0</v>
      </c>
      <c r="D27" t="s">
        <v>88</v>
      </c>
      <c r="E27" t="s">
        <v>38</v>
      </c>
      <c r="F27" t="s">
        <v>89</v>
      </c>
      <c r="G27">
        <v>2</v>
      </c>
    </row>
    <row r="28" spans="1:7">
      <c r="A28" s="1">
        <v>26</v>
      </c>
      <c r="B28">
        <v>46</v>
      </c>
      <c r="C28">
        <v>0</v>
      </c>
      <c r="D28" s="5" t="s">
        <v>90</v>
      </c>
      <c r="E28" t="s">
        <v>38</v>
      </c>
      <c r="F28" t="s">
        <v>91</v>
      </c>
      <c r="G28">
        <v>2</v>
      </c>
    </row>
    <row r="29" spans="1:7">
      <c r="A29" s="1">
        <v>27</v>
      </c>
      <c r="B29">
        <v>47</v>
      </c>
      <c r="C29">
        <v>0</v>
      </c>
      <c r="D29" t="s">
        <v>92</v>
      </c>
      <c r="E29" t="s">
        <v>38</v>
      </c>
      <c r="F29" t="s">
        <v>93</v>
      </c>
      <c r="G29">
        <v>2</v>
      </c>
    </row>
    <row r="30" spans="1:7">
      <c r="A30" s="1">
        <v>28</v>
      </c>
      <c r="B30">
        <v>48</v>
      </c>
      <c r="C30">
        <v>0</v>
      </c>
      <c r="D30" s="5" t="s">
        <v>94</v>
      </c>
      <c r="E30" t="s">
        <v>38</v>
      </c>
      <c r="F30" t="s">
        <v>95</v>
      </c>
      <c r="G30">
        <v>2</v>
      </c>
    </row>
    <row r="31" spans="1:7">
      <c r="A31" s="1">
        <v>29</v>
      </c>
      <c r="B31">
        <v>49</v>
      </c>
      <c r="C31">
        <v>0</v>
      </c>
      <c r="D31" s="5" t="s">
        <v>96</v>
      </c>
      <c r="E31" t="s">
        <v>38</v>
      </c>
      <c r="F31" t="s">
        <v>97</v>
      </c>
      <c r="G31">
        <v>2</v>
      </c>
    </row>
    <row r="32" spans="1:7">
      <c r="A32" s="1">
        <v>30</v>
      </c>
      <c r="B32">
        <v>50</v>
      </c>
      <c r="C32">
        <v>0</v>
      </c>
      <c r="D32" t="s">
        <v>98</v>
      </c>
      <c r="E32" t="s">
        <v>38</v>
      </c>
      <c r="F32" t="s">
        <v>99</v>
      </c>
      <c r="G32">
        <v>2</v>
      </c>
    </row>
    <row r="33" spans="1:7">
      <c r="A33" s="1">
        <v>31</v>
      </c>
      <c r="B33">
        <v>51</v>
      </c>
      <c r="C33">
        <v>0</v>
      </c>
      <c r="D33" t="s">
        <v>100</v>
      </c>
      <c r="E33" t="s">
        <v>38</v>
      </c>
      <c r="F33" t="s">
        <v>101</v>
      </c>
      <c r="G33">
        <v>2</v>
      </c>
    </row>
    <row r="34" spans="1:7">
      <c r="A34" s="1">
        <v>32</v>
      </c>
      <c r="B34">
        <v>52</v>
      </c>
      <c r="C34">
        <v>0</v>
      </c>
      <c r="D34" s="5" t="s">
        <v>102</v>
      </c>
      <c r="E34" t="s">
        <v>38</v>
      </c>
      <c r="F34" t="s">
        <v>103</v>
      </c>
      <c r="G34">
        <v>2</v>
      </c>
    </row>
    <row r="35" spans="1:7">
      <c r="A35" s="1">
        <v>33</v>
      </c>
      <c r="B35">
        <v>53</v>
      </c>
      <c r="C35">
        <v>0</v>
      </c>
      <c r="D35" t="s">
        <v>104</v>
      </c>
      <c r="E35" t="s">
        <v>38</v>
      </c>
      <c r="F35" t="s">
        <v>105</v>
      </c>
      <c r="G35">
        <v>2</v>
      </c>
    </row>
    <row r="36" spans="1:7">
      <c r="A36" s="1">
        <v>34</v>
      </c>
      <c r="B36">
        <v>54</v>
      </c>
      <c r="C36">
        <v>0</v>
      </c>
      <c r="D36" t="s">
        <v>106</v>
      </c>
      <c r="E36" t="s">
        <v>38</v>
      </c>
      <c r="F36" t="s">
        <v>107</v>
      </c>
      <c r="G36">
        <v>2</v>
      </c>
    </row>
    <row r="37" spans="1:7">
      <c r="A37" s="1">
        <v>35</v>
      </c>
      <c r="B37">
        <v>55</v>
      </c>
      <c r="C37">
        <v>0</v>
      </c>
      <c r="D37" t="s">
        <v>108</v>
      </c>
      <c r="E37" t="s">
        <v>38</v>
      </c>
      <c r="F37" t="s">
        <v>109</v>
      </c>
      <c r="G37">
        <v>2</v>
      </c>
    </row>
    <row r="38" spans="1:7">
      <c r="A38" s="1">
        <v>36</v>
      </c>
      <c r="B38">
        <v>56</v>
      </c>
      <c r="C38">
        <v>0</v>
      </c>
      <c r="D38" s="5" t="s">
        <v>110</v>
      </c>
      <c r="E38" t="s">
        <v>38</v>
      </c>
      <c r="F38" t="s">
        <v>111</v>
      </c>
      <c r="G38">
        <v>2</v>
      </c>
    </row>
    <row r="39" spans="1:7">
      <c r="A39" s="1">
        <v>37</v>
      </c>
      <c r="B39">
        <v>57</v>
      </c>
      <c r="C39">
        <v>0</v>
      </c>
      <c r="D39" t="s">
        <v>112</v>
      </c>
      <c r="E39" t="s">
        <v>38</v>
      </c>
      <c r="F39" t="s">
        <v>113</v>
      </c>
      <c r="G39">
        <v>2</v>
      </c>
    </row>
    <row r="40" spans="1:7">
      <c r="A40" s="1">
        <v>38</v>
      </c>
      <c r="B40">
        <v>58</v>
      </c>
      <c r="C40">
        <v>0</v>
      </c>
      <c r="D40" s="5" t="s">
        <v>114</v>
      </c>
      <c r="E40" t="s">
        <v>38</v>
      </c>
      <c r="F40" t="s">
        <v>115</v>
      </c>
      <c r="G40">
        <v>2</v>
      </c>
    </row>
    <row r="41" spans="1:7">
      <c r="A41" s="1">
        <v>39</v>
      </c>
      <c r="B41">
        <v>59</v>
      </c>
      <c r="C41">
        <v>0</v>
      </c>
      <c r="D41" s="5" t="s">
        <v>116</v>
      </c>
      <c r="E41" t="s">
        <v>38</v>
      </c>
      <c r="F41" t="s">
        <v>117</v>
      </c>
      <c r="G41">
        <v>2</v>
      </c>
    </row>
    <row r="42" spans="1:7">
      <c r="A42" s="1">
        <v>40</v>
      </c>
      <c r="B42">
        <v>60</v>
      </c>
      <c r="C42">
        <v>0</v>
      </c>
      <c r="D42" t="s">
        <v>118</v>
      </c>
      <c r="E42" t="s">
        <v>38</v>
      </c>
      <c r="F42" t="s">
        <v>119</v>
      </c>
      <c r="G42">
        <v>2</v>
      </c>
    </row>
    <row r="43" spans="1:7">
      <c r="A43" s="1">
        <v>41</v>
      </c>
      <c r="B43">
        <v>61</v>
      </c>
      <c r="C43">
        <v>0</v>
      </c>
      <c r="D43" t="s">
        <v>120</v>
      </c>
      <c r="E43" t="s">
        <v>38</v>
      </c>
      <c r="F43" t="s">
        <v>121</v>
      </c>
      <c r="G43">
        <v>2</v>
      </c>
    </row>
    <row r="44" spans="1:7">
      <c r="A44" s="1">
        <v>42</v>
      </c>
      <c r="B44">
        <v>62</v>
      </c>
      <c r="C44">
        <v>0</v>
      </c>
      <c r="D44" s="5" t="s">
        <v>122</v>
      </c>
      <c r="E44" t="s">
        <v>38</v>
      </c>
      <c r="F44" t="s">
        <v>123</v>
      </c>
      <c r="G44">
        <v>2</v>
      </c>
    </row>
    <row r="45" spans="1:7">
      <c r="A45" s="1">
        <v>43</v>
      </c>
      <c r="B45">
        <v>63</v>
      </c>
      <c r="C45">
        <v>0</v>
      </c>
      <c r="D45" t="s">
        <v>124</v>
      </c>
      <c r="E45" t="s">
        <v>38</v>
      </c>
      <c r="F45" t="s">
        <v>125</v>
      </c>
      <c r="G45">
        <v>2</v>
      </c>
    </row>
    <row r="46" spans="1:7">
      <c r="A46" s="1">
        <v>44</v>
      </c>
      <c r="B46">
        <v>64</v>
      </c>
      <c r="C46">
        <v>0</v>
      </c>
      <c r="D46" t="s">
        <v>126</v>
      </c>
      <c r="E46" t="s">
        <v>38</v>
      </c>
      <c r="F46" t="s">
        <v>127</v>
      </c>
      <c r="G46">
        <v>2</v>
      </c>
    </row>
    <row r="47" spans="1:7">
      <c r="A47" s="1">
        <v>45</v>
      </c>
      <c r="B47">
        <v>65</v>
      </c>
      <c r="C47">
        <v>0</v>
      </c>
      <c r="D47" t="s">
        <v>128</v>
      </c>
      <c r="E47" t="s">
        <v>38</v>
      </c>
      <c r="F47" t="s">
        <v>129</v>
      </c>
      <c r="G47">
        <v>2</v>
      </c>
    </row>
    <row r="48" spans="4:4">
      <c r="D48" s="5"/>
    </row>
    <row r="50" spans="4:4">
      <c r="D50" s="5"/>
    </row>
    <row r="51" spans="4:6">
      <c r="D51" s="5"/>
      <c r="E51"/>
      <c r="F51" s="6"/>
    </row>
    <row r="54" spans="4:4">
      <c r="D54" s="5"/>
    </row>
    <row r="58" spans="4:4">
      <c r="D58" s="5"/>
    </row>
    <row r="60" spans="4:4">
      <c r="D60" s="5"/>
    </row>
    <row r="61" spans="4:4">
      <c r="D61" s="5"/>
    </row>
    <row r="64" spans="4:4">
      <c r="D64" s="5"/>
    </row>
    <row r="65" spans="6:6">
      <c r="F65" s="6"/>
    </row>
    <row r="68" spans="4:4">
      <c r="D68" s="5"/>
    </row>
    <row r="70" spans="4:4">
      <c r="D70" s="5"/>
    </row>
    <row r="71" spans="4:4">
      <c r="D71" s="5"/>
    </row>
    <row r="72" spans="4:4">
      <c r="D72" s="5"/>
    </row>
    <row r="73" spans="4:6">
      <c r="D73" s="5"/>
      <c r="F73" s="6"/>
    </row>
    <row r="74" spans="4:4">
      <c r="D74" s="5"/>
    </row>
    <row r="75" spans="4:4">
      <c r="D75" s="5"/>
    </row>
    <row r="76" spans="4:4">
      <c r="D76" s="5"/>
    </row>
    <row r="77" spans="4:6">
      <c r="D77" s="5"/>
      <c r="F77" s="6"/>
    </row>
    <row r="78" spans="4:4">
      <c r="D78" s="5"/>
    </row>
    <row r="79" spans="4:4">
      <c r="D79" s="5"/>
    </row>
    <row r="80" spans="4:4">
      <c r="D80" s="5"/>
    </row>
    <row r="81" spans="4:6">
      <c r="D81" s="5"/>
      <c r="F81" s="6"/>
    </row>
    <row r="82" spans="4:4">
      <c r="D82" s="5"/>
    </row>
    <row r="83" spans="4:4">
      <c r="D83" s="5"/>
    </row>
    <row r="84" spans="4:4">
      <c r="D84" s="5"/>
    </row>
    <row r="85" spans="4:6">
      <c r="D85" s="5"/>
      <c r="F85" s="6"/>
    </row>
    <row r="86" spans="4:4">
      <c r="D86" s="5"/>
    </row>
    <row r="87" spans="4:4">
      <c r="D87" s="5"/>
    </row>
    <row r="88" spans="4:4">
      <c r="D88" s="5"/>
    </row>
    <row r="89" spans="4:6">
      <c r="D89" s="5"/>
      <c r="F89" s="6"/>
    </row>
    <row r="90" spans="4:4">
      <c r="D90" s="5"/>
    </row>
    <row r="91" spans="4:4">
      <c r="D91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workbookViewId="0">
      <pane ySplit="1" topLeftCell="A2" activePane="bottomLeft" state="frozen"/>
      <selection/>
      <selection pane="bottomLeft" activeCell="Q33" sqref="Q33"/>
    </sheetView>
  </sheetViews>
  <sheetFormatPr defaultColWidth="8.875" defaultRowHeight="13.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</row>
    <row r="2" spans="1:14">
      <c r="A2" s="1">
        <v>0</v>
      </c>
      <c r="B2">
        <v>1</v>
      </c>
      <c r="C2">
        <v>1</v>
      </c>
      <c r="D2" t="s">
        <v>140</v>
      </c>
      <c r="E2">
        <v>345</v>
      </c>
      <c r="F2">
        <v>1.1</v>
      </c>
      <c r="G2">
        <v>0.9</v>
      </c>
      <c r="H2">
        <v>1.03145</v>
      </c>
      <c r="I2">
        <v>-0.21409604868364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 s="1">
        <v>1</v>
      </c>
      <c r="B3">
        <v>2</v>
      </c>
      <c r="C3">
        <v>1</v>
      </c>
      <c r="D3" t="s">
        <v>141</v>
      </c>
      <c r="E3">
        <v>345</v>
      </c>
      <c r="F3">
        <v>1.1</v>
      </c>
      <c r="G3">
        <v>0.9</v>
      </c>
      <c r="H3">
        <v>1.00247</v>
      </c>
      <c r="I3">
        <v>-0.250215637553663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 s="1">
        <v>2</v>
      </c>
      <c r="B4">
        <v>3</v>
      </c>
      <c r="C4">
        <v>1</v>
      </c>
      <c r="D4" t="s">
        <v>142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 s="1">
        <v>3</v>
      </c>
      <c r="B5">
        <v>4</v>
      </c>
      <c r="C5">
        <v>1</v>
      </c>
      <c r="D5" t="s">
        <v>143</v>
      </c>
      <c r="E5">
        <v>345</v>
      </c>
      <c r="F5">
        <v>1.1</v>
      </c>
      <c r="G5">
        <v>0.9</v>
      </c>
      <c r="H5">
        <v>0.93103</v>
      </c>
      <c r="I5">
        <v>-0.336251643030724</v>
      </c>
      <c r="J5">
        <v>0</v>
      </c>
      <c r="K5">
        <v>0</v>
      </c>
      <c r="L5">
        <v>2</v>
      </c>
      <c r="M5">
        <v>2</v>
      </c>
      <c r="N5">
        <v>2</v>
      </c>
    </row>
    <row r="6" spans="1:14">
      <c r="A6" s="1">
        <v>4</v>
      </c>
      <c r="B6">
        <v>5</v>
      </c>
      <c r="C6">
        <v>1</v>
      </c>
      <c r="D6" t="s">
        <v>144</v>
      </c>
      <c r="E6">
        <v>345</v>
      </c>
      <c r="F6">
        <v>1.1</v>
      </c>
      <c r="G6">
        <v>0.9</v>
      </c>
      <c r="H6">
        <v>0.91744</v>
      </c>
      <c r="I6">
        <v>-0.304875859067621</v>
      </c>
      <c r="J6">
        <v>0</v>
      </c>
      <c r="K6">
        <v>0</v>
      </c>
      <c r="L6">
        <v>2</v>
      </c>
      <c r="M6">
        <v>2</v>
      </c>
      <c r="N6">
        <v>2</v>
      </c>
    </row>
    <row r="7" spans="1:14">
      <c r="A7" s="1">
        <v>5</v>
      </c>
      <c r="B7">
        <v>6</v>
      </c>
      <c r="C7">
        <v>1</v>
      </c>
      <c r="D7" t="s">
        <v>145</v>
      </c>
      <c r="E7">
        <v>345</v>
      </c>
      <c r="F7">
        <v>1.1</v>
      </c>
      <c r="G7">
        <v>0.9</v>
      </c>
      <c r="H7">
        <v>0.91858</v>
      </c>
      <c r="I7">
        <v>-0.291918534700816</v>
      </c>
      <c r="J7">
        <v>0</v>
      </c>
      <c r="K7">
        <v>0</v>
      </c>
      <c r="L7">
        <v>2</v>
      </c>
      <c r="M7">
        <v>2</v>
      </c>
      <c r="N7">
        <v>2</v>
      </c>
    </row>
    <row r="8" spans="1:14">
      <c r="A8" s="1">
        <v>6</v>
      </c>
      <c r="B8">
        <v>7</v>
      </c>
      <c r="C8">
        <v>1</v>
      </c>
      <c r="D8" t="s">
        <v>146</v>
      </c>
      <c r="E8">
        <v>345</v>
      </c>
      <c r="F8">
        <v>1.1</v>
      </c>
      <c r="G8">
        <v>0.9</v>
      </c>
      <c r="H8">
        <v>0.86255</v>
      </c>
      <c r="I8">
        <v>-0.325226398145875</v>
      </c>
      <c r="J8">
        <v>0</v>
      </c>
      <c r="K8">
        <v>0</v>
      </c>
      <c r="L8">
        <v>2</v>
      </c>
      <c r="M8">
        <v>2</v>
      </c>
      <c r="N8">
        <v>2</v>
      </c>
    </row>
    <row r="9" spans="1:14">
      <c r="A9" s="1">
        <v>7</v>
      </c>
      <c r="B9">
        <v>8</v>
      </c>
      <c r="C9">
        <v>1</v>
      </c>
      <c r="D9" t="s">
        <v>147</v>
      </c>
      <c r="E9">
        <v>345</v>
      </c>
      <c r="F9">
        <v>1.1</v>
      </c>
      <c r="G9">
        <v>0.9</v>
      </c>
      <c r="H9">
        <v>0.87995</v>
      </c>
      <c r="I9">
        <v>-0.332171063239561</v>
      </c>
      <c r="J9">
        <v>0</v>
      </c>
      <c r="K9">
        <v>0</v>
      </c>
      <c r="L9">
        <v>2</v>
      </c>
      <c r="M9">
        <v>2</v>
      </c>
      <c r="N9">
        <v>2</v>
      </c>
    </row>
    <row r="10" spans="1:14">
      <c r="A10" s="1">
        <v>8</v>
      </c>
      <c r="B10">
        <v>9</v>
      </c>
      <c r="C10">
        <v>1</v>
      </c>
      <c r="D10" t="s">
        <v>148</v>
      </c>
      <c r="E10">
        <v>345</v>
      </c>
      <c r="F10">
        <v>1.1</v>
      </c>
      <c r="G10">
        <v>0.9</v>
      </c>
      <c r="H10">
        <v>0.9788</v>
      </c>
      <c r="I10">
        <v>-0.24487493004256</v>
      </c>
      <c r="J10">
        <v>0</v>
      </c>
      <c r="K10">
        <v>0</v>
      </c>
      <c r="L10">
        <v>2</v>
      </c>
      <c r="M10">
        <v>2</v>
      </c>
      <c r="N10">
        <v>2</v>
      </c>
    </row>
    <row r="11" spans="1:14">
      <c r="A11" s="1">
        <v>9</v>
      </c>
      <c r="B11">
        <v>10</v>
      </c>
      <c r="C11">
        <v>1</v>
      </c>
      <c r="D11" t="s">
        <v>149</v>
      </c>
      <c r="E11">
        <v>345</v>
      </c>
      <c r="F11">
        <v>1.1</v>
      </c>
      <c r="G11">
        <v>0.9</v>
      </c>
      <c r="H11">
        <v>0.95616</v>
      </c>
      <c r="I11">
        <v>-0.256497077531591</v>
      </c>
      <c r="J11">
        <v>0</v>
      </c>
      <c r="K11">
        <v>0</v>
      </c>
      <c r="L11">
        <v>2</v>
      </c>
      <c r="M11">
        <v>2</v>
      </c>
      <c r="N11">
        <v>2</v>
      </c>
    </row>
    <row r="12" spans="1:14">
      <c r="A12" s="1">
        <v>10</v>
      </c>
      <c r="B12">
        <v>11</v>
      </c>
      <c r="C12">
        <v>1</v>
      </c>
      <c r="D12" t="s">
        <v>150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2</v>
      </c>
      <c r="M12">
        <v>2</v>
      </c>
      <c r="N12">
        <v>2</v>
      </c>
    </row>
    <row r="13" spans="1:14">
      <c r="A13" s="1">
        <v>11</v>
      </c>
      <c r="B13">
        <v>12</v>
      </c>
      <c r="C13">
        <v>1</v>
      </c>
      <c r="D13" t="s">
        <v>151</v>
      </c>
      <c r="E13">
        <v>138</v>
      </c>
      <c r="F13">
        <v>1.1</v>
      </c>
      <c r="G13">
        <v>0.9</v>
      </c>
      <c r="H13">
        <v>0.94491</v>
      </c>
      <c r="I13">
        <v>-0.300264699183853</v>
      </c>
      <c r="J13">
        <v>0</v>
      </c>
      <c r="K13">
        <v>0</v>
      </c>
      <c r="L13">
        <v>2</v>
      </c>
      <c r="M13">
        <v>2</v>
      </c>
      <c r="N13">
        <v>2</v>
      </c>
    </row>
    <row r="14" spans="1:14">
      <c r="A14" s="1">
        <v>12</v>
      </c>
      <c r="B14">
        <v>13</v>
      </c>
      <c r="C14">
        <v>1</v>
      </c>
      <c r="D14" t="s">
        <v>152</v>
      </c>
      <c r="E14">
        <v>345</v>
      </c>
      <c r="F14">
        <v>1.1</v>
      </c>
      <c r="G14">
        <v>0.9</v>
      </c>
      <c r="H14">
        <v>0.95234</v>
      </c>
      <c r="I14">
        <v>-0.272154426251232</v>
      </c>
      <c r="J14">
        <v>0</v>
      </c>
      <c r="K14">
        <v>0</v>
      </c>
      <c r="L14">
        <v>2</v>
      </c>
      <c r="M14">
        <v>2</v>
      </c>
      <c r="N14">
        <v>2</v>
      </c>
    </row>
    <row r="15" spans="1:14">
      <c r="A15" s="1">
        <v>13</v>
      </c>
      <c r="B15">
        <v>14</v>
      </c>
      <c r="C15">
        <v>1</v>
      </c>
      <c r="D15" t="s">
        <v>153</v>
      </c>
      <c r="E15">
        <v>345</v>
      </c>
      <c r="F15">
        <v>1.1</v>
      </c>
      <c r="G15">
        <v>0.9</v>
      </c>
      <c r="H15">
        <v>0.94651</v>
      </c>
      <c r="I15">
        <v>-0.302901891683616</v>
      </c>
      <c r="J15">
        <v>0</v>
      </c>
      <c r="K15">
        <v>0</v>
      </c>
      <c r="L15">
        <v>3</v>
      </c>
      <c r="M15">
        <v>3</v>
      </c>
      <c r="N15">
        <v>2</v>
      </c>
    </row>
    <row r="16" spans="1:14">
      <c r="A16" s="1">
        <v>14</v>
      </c>
      <c r="B16">
        <v>15</v>
      </c>
      <c r="C16">
        <v>1</v>
      </c>
      <c r="D16" t="s">
        <v>154</v>
      </c>
      <c r="E16">
        <v>345</v>
      </c>
      <c r="F16">
        <v>1.1</v>
      </c>
      <c r="G16">
        <v>0.9</v>
      </c>
      <c r="H16">
        <v>0.95647</v>
      </c>
      <c r="I16">
        <v>-0.314026620335828</v>
      </c>
      <c r="J16">
        <v>0</v>
      </c>
      <c r="K16">
        <v>0</v>
      </c>
      <c r="L16">
        <v>3</v>
      </c>
      <c r="M16">
        <v>3</v>
      </c>
      <c r="N16">
        <v>2</v>
      </c>
    </row>
    <row r="17" spans="1:14">
      <c r="A17" s="1">
        <v>15</v>
      </c>
      <c r="B17">
        <v>16</v>
      </c>
      <c r="C17">
        <v>1</v>
      </c>
      <c r="D17" t="s">
        <v>155</v>
      </c>
      <c r="E17">
        <v>345</v>
      </c>
      <c r="F17">
        <v>1.1</v>
      </c>
      <c r="G17">
        <v>0.9</v>
      </c>
      <c r="H17">
        <v>0.97673</v>
      </c>
      <c r="I17">
        <v>-0.287794321678353</v>
      </c>
      <c r="J17">
        <v>0</v>
      </c>
      <c r="K17">
        <v>0</v>
      </c>
      <c r="L17">
        <v>3</v>
      </c>
      <c r="M17">
        <v>3</v>
      </c>
      <c r="N17">
        <v>2</v>
      </c>
    </row>
    <row r="18" spans="1:14">
      <c r="A18" s="1">
        <v>16</v>
      </c>
      <c r="B18">
        <v>17</v>
      </c>
      <c r="C18">
        <v>1</v>
      </c>
      <c r="D18" t="s">
        <v>156</v>
      </c>
      <c r="E18">
        <v>345</v>
      </c>
      <c r="F18">
        <v>1.1</v>
      </c>
      <c r="G18">
        <v>0.9</v>
      </c>
      <c r="H18">
        <v>0.97495</v>
      </c>
      <c r="I18">
        <v>-0.307645696590536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 s="1">
        <v>17</v>
      </c>
      <c r="B19">
        <v>18</v>
      </c>
      <c r="C19">
        <v>1</v>
      </c>
      <c r="D19" t="s">
        <v>157</v>
      </c>
      <c r="E19">
        <v>345</v>
      </c>
      <c r="F19">
        <v>1.1</v>
      </c>
      <c r="G19">
        <v>0.9</v>
      </c>
      <c r="H19">
        <v>0.9652</v>
      </c>
      <c r="I19">
        <v>-0.326168875941952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 s="1">
        <v>18</v>
      </c>
      <c r="B20">
        <v>19</v>
      </c>
      <c r="C20">
        <v>1</v>
      </c>
      <c r="D20" t="s">
        <v>158</v>
      </c>
      <c r="E20">
        <v>345</v>
      </c>
      <c r="F20">
        <v>1.1</v>
      </c>
      <c r="G20">
        <v>0.9</v>
      </c>
      <c r="H20">
        <v>1.02958</v>
      </c>
      <c r="I20">
        <v>-0.20383874866967</v>
      </c>
      <c r="J20">
        <v>0</v>
      </c>
      <c r="K20">
        <v>0</v>
      </c>
      <c r="L20">
        <v>4</v>
      </c>
      <c r="M20">
        <v>4</v>
      </c>
      <c r="N20">
        <v>2</v>
      </c>
    </row>
    <row r="21" spans="1:14">
      <c r="A21" s="1">
        <v>19</v>
      </c>
      <c r="B21">
        <v>20</v>
      </c>
      <c r="C21">
        <v>1</v>
      </c>
      <c r="D21" t="s">
        <v>159</v>
      </c>
      <c r="E21">
        <v>138</v>
      </c>
      <c r="F21">
        <v>1.1</v>
      </c>
      <c r="G21">
        <v>0.9</v>
      </c>
      <c r="H21">
        <v>0.97981</v>
      </c>
      <c r="I21">
        <v>-0.229704528184226</v>
      </c>
      <c r="J21">
        <v>0</v>
      </c>
      <c r="K21">
        <v>0</v>
      </c>
      <c r="L21">
        <v>4</v>
      </c>
      <c r="M21">
        <v>4</v>
      </c>
      <c r="N21">
        <v>2</v>
      </c>
    </row>
    <row r="22" spans="1:14">
      <c r="A22" s="1">
        <v>20</v>
      </c>
      <c r="B22">
        <v>21</v>
      </c>
      <c r="C22">
        <v>1</v>
      </c>
      <c r="D22" t="s">
        <v>160</v>
      </c>
      <c r="E22">
        <v>345</v>
      </c>
      <c r="F22">
        <v>1.1</v>
      </c>
      <c r="G22">
        <v>0.9</v>
      </c>
      <c r="H22">
        <v>0.99298</v>
      </c>
      <c r="I22">
        <v>-0.242766572306151</v>
      </c>
      <c r="J22">
        <v>0</v>
      </c>
      <c r="K22">
        <v>0</v>
      </c>
      <c r="L22">
        <v>3</v>
      </c>
      <c r="M22">
        <v>3</v>
      </c>
      <c r="N22">
        <v>2</v>
      </c>
    </row>
    <row r="23" spans="1:14">
      <c r="A23" s="1">
        <v>21</v>
      </c>
      <c r="B23">
        <v>22</v>
      </c>
      <c r="C23">
        <v>1</v>
      </c>
      <c r="D23" t="s">
        <v>161</v>
      </c>
      <c r="E23">
        <v>345</v>
      </c>
      <c r="F23">
        <v>1.1</v>
      </c>
      <c r="G23">
        <v>0.9</v>
      </c>
      <c r="H23">
        <v>1.02902</v>
      </c>
      <c r="I23">
        <v>-0.161498806345539</v>
      </c>
      <c r="J23">
        <v>0</v>
      </c>
      <c r="K23">
        <v>0</v>
      </c>
      <c r="L23">
        <v>3</v>
      </c>
      <c r="M23">
        <v>3</v>
      </c>
      <c r="N23">
        <v>2</v>
      </c>
    </row>
    <row r="24" spans="1:14">
      <c r="A24" s="1">
        <v>22</v>
      </c>
      <c r="B24">
        <v>23</v>
      </c>
      <c r="C24">
        <v>1</v>
      </c>
      <c r="D24" t="s">
        <v>162</v>
      </c>
      <c r="E24">
        <v>345</v>
      </c>
      <c r="F24">
        <v>1.1</v>
      </c>
      <c r="G24">
        <v>0.9</v>
      </c>
      <c r="H24">
        <v>1.02329</v>
      </c>
      <c r="I24">
        <v>-0.165083712629136</v>
      </c>
      <c r="J24">
        <v>0</v>
      </c>
      <c r="K24">
        <v>0</v>
      </c>
      <c r="L24">
        <v>4</v>
      </c>
      <c r="M24">
        <v>4</v>
      </c>
      <c r="N24">
        <v>2</v>
      </c>
    </row>
    <row r="25" spans="1:14">
      <c r="A25" s="1">
        <v>23</v>
      </c>
      <c r="B25">
        <v>24</v>
      </c>
      <c r="C25">
        <v>1</v>
      </c>
      <c r="D25" t="s">
        <v>163</v>
      </c>
      <c r="E25">
        <v>345</v>
      </c>
      <c r="F25">
        <v>1.1</v>
      </c>
      <c r="G25">
        <v>0.9</v>
      </c>
      <c r="H25">
        <v>0.98714</v>
      </c>
      <c r="I25">
        <v>-0.285731342502496</v>
      </c>
      <c r="J25">
        <v>0</v>
      </c>
      <c r="K25">
        <v>0</v>
      </c>
      <c r="L25">
        <v>3</v>
      </c>
      <c r="M25">
        <v>3</v>
      </c>
      <c r="N25">
        <v>2</v>
      </c>
    </row>
    <row r="26" spans="1:14">
      <c r="A26" s="1">
        <v>24</v>
      </c>
      <c r="B26">
        <v>25</v>
      </c>
      <c r="C26">
        <v>1</v>
      </c>
      <c r="D26" t="s">
        <v>164</v>
      </c>
      <c r="E26">
        <v>345</v>
      </c>
      <c r="F26">
        <v>1.1</v>
      </c>
      <c r="G26">
        <v>0.9</v>
      </c>
      <c r="H26">
        <v>1.02124</v>
      </c>
      <c r="I26">
        <v>-0.235603741055966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 s="1">
        <v>25</v>
      </c>
      <c r="B27">
        <v>26</v>
      </c>
      <c r="C27">
        <v>1</v>
      </c>
      <c r="D27" t="s">
        <v>165</v>
      </c>
      <c r="E27">
        <v>345</v>
      </c>
      <c r="F27">
        <v>1.1</v>
      </c>
      <c r="G27">
        <v>0.9</v>
      </c>
      <c r="H27">
        <v>1.01034</v>
      </c>
      <c r="I27">
        <v>-0.266056245844764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 s="1">
        <v>26</v>
      </c>
      <c r="B28">
        <v>27</v>
      </c>
      <c r="C28">
        <v>1</v>
      </c>
      <c r="D28" t="s">
        <v>166</v>
      </c>
      <c r="E28">
        <v>345</v>
      </c>
      <c r="F28">
        <v>1.1</v>
      </c>
      <c r="G28">
        <v>0.9</v>
      </c>
      <c r="H28">
        <v>0.98758</v>
      </c>
      <c r="I28">
        <v>-0.307059265961866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 s="1">
        <v>27</v>
      </c>
      <c r="B29">
        <v>28</v>
      </c>
      <c r="C29">
        <v>1</v>
      </c>
      <c r="D29" t="s">
        <v>167</v>
      </c>
      <c r="E29">
        <v>345</v>
      </c>
      <c r="F29">
        <v>1.1</v>
      </c>
      <c r="G29">
        <v>0.9</v>
      </c>
      <c r="H29">
        <v>1.02015</v>
      </c>
      <c r="I29">
        <v>-0.201381325082862</v>
      </c>
      <c r="J29">
        <v>0</v>
      </c>
      <c r="K29">
        <v>0</v>
      </c>
      <c r="L29">
        <v>3</v>
      </c>
      <c r="M29">
        <v>3</v>
      </c>
      <c r="N29">
        <v>2</v>
      </c>
    </row>
    <row r="30" spans="1:14">
      <c r="A30" s="1">
        <v>28</v>
      </c>
      <c r="B30">
        <v>29</v>
      </c>
      <c r="C30">
        <v>1</v>
      </c>
      <c r="D30" t="s">
        <v>168</v>
      </c>
      <c r="E30">
        <v>345</v>
      </c>
      <c r="F30">
        <v>1.1</v>
      </c>
      <c r="G30">
        <v>0.9</v>
      </c>
      <c r="H30">
        <v>1.02428</v>
      </c>
      <c r="I30">
        <v>-0.150937819041722</v>
      </c>
      <c r="J30">
        <v>0</v>
      </c>
      <c r="K30">
        <v>0</v>
      </c>
      <c r="L30">
        <v>3</v>
      </c>
      <c r="M30">
        <v>3</v>
      </c>
      <c r="N30">
        <v>2</v>
      </c>
    </row>
    <row r="31" spans="1:14">
      <c r="A31" s="1">
        <v>29</v>
      </c>
      <c r="B31">
        <v>30</v>
      </c>
      <c r="C31">
        <v>1</v>
      </c>
      <c r="D31" t="s">
        <v>169</v>
      </c>
      <c r="E31">
        <v>34.5</v>
      </c>
      <c r="F31">
        <v>1.1</v>
      </c>
      <c r="G31">
        <v>0.9</v>
      </c>
      <c r="H31">
        <v>1.00458</v>
      </c>
      <c r="I31">
        <v>-0.204142435959517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 s="1">
        <v>30</v>
      </c>
      <c r="B32">
        <v>31</v>
      </c>
      <c r="C32">
        <v>1</v>
      </c>
      <c r="D32" t="s">
        <v>170</v>
      </c>
      <c r="E32">
        <v>34.5</v>
      </c>
      <c r="F32">
        <v>1.1</v>
      </c>
      <c r="G32">
        <v>0.9</v>
      </c>
      <c r="H32">
        <v>0.90644</v>
      </c>
      <c r="I32">
        <v>-0.158320561777658</v>
      </c>
      <c r="J32">
        <v>0</v>
      </c>
      <c r="K32">
        <v>0</v>
      </c>
      <c r="L32">
        <v>2</v>
      </c>
      <c r="M32">
        <v>2</v>
      </c>
      <c r="N32">
        <v>1</v>
      </c>
    </row>
    <row r="33" spans="1:14">
      <c r="A33" s="1">
        <v>31</v>
      </c>
      <c r="B33">
        <v>32</v>
      </c>
      <c r="C33">
        <v>1</v>
      </c>
      <c r="D33" t="s">
        <v>171</v>
      </c>
      <c r="E33">
        <v>21</v>
      </c>
      <c r="F33">
        <v>1.1</v>
      </c>
      <c r="G33">
        <v>0.9</v>
      </c>
      <c r="H33">
        <v>0.97522</v>
      </c>
      <c r="I33">
        <v>-0.106763535673745</v>
      </c>
      <c r="J33">
        <v>0</v>
      </c>
      <c r="K33">
        <v>0</v>
      </c>
      <c r="L33">
        <v>2</v>
      </c>
      <c r="M33">
        <v>2</v>
      </c>
      <c r="N33">
        <v>1</v>
      </c>
    </row>
    <row r="34" spans="1:14">
      <c r="A34" s="1">
        <v>32</v>
      </c>
      <c r="B34">
        <v>33</v>
      </c>
      <c r="C34">
        <v>1</v>
      </c>
      <c r="D34" t="s">
        <v>172</v>
      </c>
      <c r="E34">
        <v>21</v>
      </c>
      <c r="F34">
        <v>1.1</v>
      </c>
      <c r="G34">
        <v>0.9</v>
      </c>
      <c r="H34">
        <v>0.9972</v>
      </c>
      <c r="I34">
        <v>-0.111954144869176</v>
      </c>
      <c r="J34">
        <v>0</v>
      </c>
      <c r="K34">
        <v>0</v>
      </c>
      <c r="L34">
        <v>4</v>
      </c>
      <c r="M34">
        <v>4</v>
      </c>
      <c r="N34">
        <v>1</v>
      </c>
    </row>
    <row r="35" spans="1:14">
      <c r="A35" s="1">
        <v>33</v>
      </c>
      <c r="B35">
        <v>34</v>
      </c>
      <c r="C35">
        <v>1</v>
      </c>
      <c r="D35" t="s">
        <v>173</v>
      </c>
      <c r="E35">
        <v>15.5</v>
      </c>
      <c r="F35">
        <v>1.1</v>
      </c>
      <c r="G35">
        <v>0.9</v>
      </c>
      <c r="H35">
        <v>1.0123</v>
      </c>
      <c r="I35">
        <v>-0.138655937095437</v>
      </c>
      <c r="J35">
        <v>0</v>
      </c>
      <c r="K35">
        <v>0</v>
      </c>
      <c r="L35">
        <v>4</v>
      </c>
      <c r="M35">
        <v>4</v>
      </c>
      <c r="N35">
        <v>1</v>
      </c>
    </row>
    <row r="36" spans="1:14">
      <c r="A36" s="1">
        <v>34</v>
      </c>
      <c r="B36">
        <v>35</v>
      </c>
      <c r="C36">
        <v>1</v>
      </c>
      <c r="D36" t="s">
        <v>174</v>
      </c>
      <c r="E36">
        <v>15.5</v>
      </c>
      <c r="F36">
        <v>1.1</v>
      </c>
      <c r="G36">
        <v>0.9</v>
      </c>
      <c r="H36">
        <v>1.0493</v>
      </c>
      <c r="I36">
        <v>-0.0731484942803343</v>
      </c>
      <c r="J36">
        <v>0</v>
      </c>
      <c r="K36">
        <v>0</v>
      </c>
      <c r="L36">
        <v>3</v>
      </c>
      <c r="M36">
        <v>3</v>
      </c>
      <c r="N36">
        <v>1</v>
      </c>
    </row>
    <row r="37" spans="1:14">
      <c r="A37" s="1">
        <v>35</v>
      </c>
      <c r="B37">
        <v>36</v>
      </c>
      <c r="C37">
        <v>1</v>
      </c>
      <c r="D37" t="s">
        <v>175</v>
      </c>
      <c r="E37">
        <v>12.5</v>
      </c>
      <c r="F37">
        <v>1.1</v>
      </c>
      <c r="G37">
        <v>0.9</v>
      </c>
      <c r="H37">
        <v>1.0635</v>
      </c>
      <c r="I37">
        <v>-0.0255184589934091</v>
      </c>
      <c r="J37">
        <v>0</v>
      </c>
      <c r="K37">
        <v>0</v>
      </c>
      <c r="L37">
        <v>4</v>
      </c>
      <c r="M37">
        <v>4</v>
      </c>
      <c r="N37">
        <v>1</v>
      </c>
    </row>
    <row r="38" spans="1:14">
      <c r="A38" s="1">
        <v>36</v>
      </c>
      <c r="B38">
        <v>37</v>
      </c>
      <c r="C38">
        <v>1</v>
      </c>
      <c r="D38" t="s">
        <v>176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 s="1">
        <v>37</v>
      </c>
      <c r="B39">
        <v>38</v>
      </c>
      <c r="C39">
        <v>1</v>
      </c>
      <c r="D39" t="s">
        <v>177</v>
      </c>
      <c r="E39">
        <v>34.5</v>
      </c>
      <c r="F39">
        <v>1.1</v>
      </c>
      <c r="G39">
        <v>0.9</v>
      </c>
      <c r="H39">
        <v>1.0265</v>
      </c>
      <c r="I39">
        <v>-0.02585181688054</v>
      </c>
      <c r="J39">
        <v>0</v>
      </c>
      <c r="K39">
        <v>0</v>
      </c>
      <c r="L39">
        <v>3</v>
      </c>
      <c r="M39">
        <v>3</v>
      </c>
      <c r="N39">
        <v>1</v>
      </c>
    </row>
    <row r="40" spans="1:14">
      <c r="A40" s="1">
        <v>38</v>
      </c>
      <c r="B40">
        <v>39</v>
      </c>
      <c r="C40">
        <v>1</v>
      </c>
      <c r="D40" t="s">
        <v>178</v>
      </c>
      <c r="E40">
        <v>345</v>
      </c>
      <c r="F40">
        <v>1.1</v>
      </c>
      <c r="G40">
        <v>0.9</v>
      </c>
      <c r="H40">
        <v>1.03</v>
      </c>
      <c r="I40">
        <v>-0.191288086018578</v>
      </c>
      <c r="J40">
        <v>0</v>
      </c>
      <c r="K40">
        <v>0</v>
      </c>
      <c r="L40">
        <v>2</v>
      </c>
      <c r="M40">
        <v>2</v>
      </c>
      <c r="N40">
        <v>1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pane ySplit="1" topLeftCell="A2" activePane="bottomLeft" state="frozen"/>
      <selection/>
      <selection pane="bottomLeft" activeCell="B2" sqref="B2:B20"/>
    </sheetView>
  </sheetViews>
  <sheetFormatPr defaultColWidth="8.875" defaultRowHeight="13.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179</v>
      </c>
      <c r="F1" s="1" t="s">
        <v>130</v>
      </c>
      <c r="G1" s="1" t="s">
        <v>180</v>
      </c>
      <c r="H1" s="1" t="s">
        <v>181</v>
      </c>
      <c r="I1" s="1" t="s">
        <v>131</v>
      </c>
      <c r="J1" s="1" t="s">
        <v>132</v>
      </c>
      <c r="K1" s="1" t="s">
        <v>139</v>
      </c>
    </row>
    <row r="2" spans="1:11">
      <c r="A2" s="1">
        <v>0</v>
      </c>
      <c r="B2">
        <v>1</v>
      </c>
      <c r="C2">
        <v>1</v>
      </c>
      <c r="D2" t="s">
        <v>182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 s="1">
        <v>1</v>
      </c>
      <c r="B3">
        <v>2</v>
      </c>
      <c r="C3">
        <v>1</v>
      </c>
      <c r="D3" t="s">
        <v>183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 s="1">
        <v>2</v>
      </c>
      <c r="B4">
        <v>3</v>
      </c>
      <c r="C4">
        <v>1</v>
      </c>
      <c r="D4" t="s">
        <v>184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 s="1">
        <v>3</v>
      </c>
      <c r="B5">
        <v>4</v>
      </c>
      <c r="C5">
        <v>1</v>
      </c>
      <c r="D5" t="s">
        <v>185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 s="1">
        <v>4</v>
      </c>
      <c r="B6">
        <v>5</v>
      </c>
      <c r="C6">
        <v>1</v>
      </c>
      <c r="D6" t="s">
        <v>186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 s="1">
        <v>5</v>
      </c>
      <c r="B7">
        <v>6</v>
      </c>
      <c r="C7">
        <v>1</v>
      </c>
      <c r="D7" t="s">
        <v>187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 s="1">
        <v>6</v>
      </c>
      <c r="B8">
        <v>7</v>
      </c>
      <c r="C8">
        <v>1</v>
      </c>
      <c r="D8" t="s">
        <v>188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 s="1">
        <v>7</v>
      </c>
      <c r="B9">
        <v>8</v>
      </c>
      <c r="C9">
        <v>1</v>
      </c>
      <c r="D9" t="s">
        <v>189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 s="1">
        <v>8</v>
      </c>
      <c r="B10">
        <v>9</v>
      </c>
      <c r="C10">
        <v>1</v>
      </c>
      <c r="D10" t="s">
        <v>190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 s="1">
        <v>9</v>
      </c>
      <c r="B11">
        <v>10</v>
      </c>
      <c r="C11">
        <v>1</v>
      </c>
      <c r="D11" t="s">
        <v>191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 s="1">
        <v>10</v>
      </c>
      <c r="B12">
        <v>11</v>
      </c>
      <c r="C12">
        <v>1</v>
      </c>
      <c r="D12" t="s">
        <v>192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 s="1">
        <v>11</v>
      </c>
      <c r="B13">
        <v>12</v>
      </c>
      <c r="C13">
        <v>1</v>
      </c>
      <c r="D13" t="s">
        <v>193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 s="1">
        <v>12</v>
      </c>
      <c r="B14">
        <v>13</v>
      </c>
      <c r="C14">
        <v>1</v>
      </c>
      <c r="D14" t="s">
        <v>194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 s="1">
        <v>13</v>
      </c>
      <c r="B15">
        <v>14</v>
      </c>
      <c r="C15">
        <v>1</v>
      </c>
      <c r="D15" t="s">
        <v>195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 s="1">
        <v>14</v>
      </c>
      <c r="B16">
        <v>15</v>
      </c>
      <c r="C16">
        <v>1</v>
      </c>
      <c r="D16" t="s">
        <v>196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 s="1">
        <v>15</v>
      </c>
      <c r="B17">
        <v>16</v>
      </c>
      <c r="C17">
        <v>1</v>
      </c>
      <c r="D17" t="s">
        <v>197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 s="1">
        <v>16</v>
      </c>
      <c r="B18">
        <v>17</v>
      </c>
      <c r="C18">
        <v>1</v>
      </c>
      <c r="D18" t="s">
        <v>198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 s="1">
        <v>17</v>
      </c>
      <c r="B19">
        <v>18</v>
      </c>
      <c r="C19">
        <v>1</v>
      </c>
      <c r="D19" t="s">
        <v>199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 s="1">
        <v>18</v>
      </c>
      <c r="B20">
        <v>19</v>
      </c>
      <c r="C20">
        <v>1</v>
      </c>
      <c r="D20" t="s">
        <v>200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workbookViewId="0">
      <pane ySplit="1" topLeftCell="A2" activePane="bottomLeft" state="frozen"/>
      <selection/>
      <selection pane="bottomLeft" activeCell="L45" sqref="L45"/>
    </sheetView>
  </sheetViews>
  <sheetFormatPr defaultColWidth="8.875" defaultRowHeight="13.5"/>
  <cols>
    <col min="6" max="6" width="8.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201</v>
      </c>
      <c r="F1" s="1" t="s">
        <v>130</v>
      </c>
      <c r="G1" s="1" t="s">
        <v>179</v>
      </c>
      <c r="H1" s="1" t="s">
        <v>202</v>
      </c>
      <c r="I1" s="1" t="s">
        <v>180</v>
      </c>
      <c r="J1" s="1" t="s">
        <v>181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133</v>
      </c>
      <c r="P1" s="1" t="s">
        <v>131</v>
      </c>
      <c r="Q1" s="1" t="s">
        <v>132</v>
      </c>
      <c r="R1" s="1" t="s">
        <v>207</v>
      </c>
      <c r="S1" s="1" t="s">
        <v>208</v>
      </c>
    </row>
    <row r="2" spans="1:19">
      <c r="A2" s="1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 s="1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4.29804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 s="1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 s="1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</v>
      </c>
    </row>
    <row r="6" spans="1:19">
      <c r="A6" s="1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 s="1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</v>
      </c>
      <c r="J7">
        <v>2.5777</v>
      </c>
      <c r="K7">
        <v>6.97</v>
      </c>
      <c r="L7">
        <v>0</v>
      </c>
      <c r="M7">
        <v>5.93788</v>
      </c>
      <c r="N7">
        <v>-2.34972</v>
      </c>
      <c r="O7">
        <v>1.06</v>
      </c>
      <c r="P7">
        <v>1.4</v>
      </c>
      <c r="Q7">
        <v>0.6</v>
      </c>
      <c r="R7">
        <v>0.0615</v>
      </c>
      <c r="S7">
        <v>0.46538</v>
      </c>
    </row>
    <row r="8" spans="1:19">
      <c r="A8" s="1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5.79999998</v>
      </c>
      <c r="J8">
        <v>0.7876</v>
      </c>
      <c r="K8">
        <v>5.95</v>
      </c>
      <c r="L8">
        <v>0</v>
      </c>
      <c r="M8">
        <v>5.68372</v>
      </c>
      <c r="N8">
        <v>-2.49132</v>
      </c>
      <c r="O8">
        <v>1.06</v>
      </c>
      <c r="P8">
        <v>1.4</v>
      </c>
      <c r="Q8">
        <v>0.6</v>
      </c>
      <c r="R8">
        <v>0.00268</v>
      </c>
      <c r="S8">
        <v>0.02141</v>
      </c>
    </row>
    <row r="9" spans="1:19">
      <c r="A9" s="1">
        <v>7</v>
      </c>
      <c r="B9">
        <v>8</v>
      </c>
      <c r="C9">
        <v>1</v>
      </c>
      <c r="D9">
        <v>8</v>
      </c>
      <c r="E9">
        <v>970.2</v>
      </c>
      <c r="F9">
        <v>12.5</v>
      </c>
      <c r="G9">
        <v>37</v>
      </c>
      <c r="I9">
        <v>3.21521338</v>
      </c>
      <c r="J9">
        <v>0</v>
      </c>
      <c r="K9">
        <v>5.64</v>
      </c>
      <c r="L9">
        <v>0</v>
      </c>
      <c r="M9">
        <v>4.43468</v>
      </c>
      <c r="N9">
        <v>-2.16122</v>
      </c>
      <c r="O9">
        <v>1.013996</v>
      </c>
      <c r="P9">
        <v>1.4</v>
      </c>
      <c r="Q9">
        <v>0.6</v>
      </c>
      <c r="R9">
        <v>0.00686</v>
      </c>
      <c r="S9">
        <v>0.06076</v>
      </c>
    </row>
    <row r="10" spans="1:19">
      <c r="A10" s="1">
        <v>8</v>
      </c>
      <c r="B10">
        <v>9</v>
      </c>
      <c r="C10">
        <v>1</v>
      </c>
      <c r="D10">
        <v>9</v>
      </c>
      <c r="E10">
        <v>1684.1</v>
      </c>
      <c r="F10">
        <v>34.5</v>
      </c>
      <c r="G10">
        <v>38</v>
      </c>
      <c r="I10">
        <v>7.64783381</v>
      </c>
      <c r="J10">
        <v>1.428</v>
      </c>
      <c r="K10">
        <v>8.65</v>
      </c>
      <c r="L10">
        <v>0</v>
      </c>
      <c r="M10">
        <v>8.34775</v>
      </c>
      <c r="N10">
        <v>-3.56889</v>
      </c>
      <c r="O10">
        <v>1.052803</v>
      </c>
      <c r="P10">
        <v>1.4</v>
      </c>
      <c r="Q10">
        <v>0.6</v>
      </c>
      <c r="R10">
        <v>0.003</v>
      </c>
      <c r="S10">
        <v>0.01174</v>
      </c>
    </row>
    <row r="17" spans="4:5">
      <c r="D17" s="4"/>
      <c r="E17" s="4"/>
    </row>
    <row r="18" spans="4:5">
      <c r="D18" s="4"/>
      <c r="E18" s="4"/>
    </row>
    <row r="19" spans="4:5">
      <c r="D19" s="4"/>
      <c r="E19" s="4"/>
    </row>
    <row r="20" spans="4:5">
      <c r="D20" s="4"/>
      <c r="E20" s="4"/>
    </row>
    <row r="21" spans="4:5">
      <c r="D21" s="4"/>
      <c r="E21" s="4"/>
    </row>
    <row r="22" spans="4:5">
      <c r="D22" s="4"/>
      <c r="E22" s="4"/>
    </row>
    <row r="23" spans="4:5">
      <c r="D23" s="4"/>
      <c r="E23" s="4"/>
    </row>
    <row r="24" spans="4:5">
      <c r="D24" s="4"/>
      <c r="E24" s="4"/>
    </row>
    <row r="25" spans="4:5">
      <c r="D25" s="4"/>
      <c r="E25" s="4"/>
    </row>
    <row r="26" spans="5:5">
      <c r="E26" s="4"/>
    </row>
    <row r="27" spans="5:5">
      <c r="E27" s="4"/>
    </row>
    <row r="28" spans="5:5">
      <c r="E28" s="4"/>
    </row>
    <row r="29" spans="5:5">
      <c r="E29" s="4"/>
    </row>
  </sheetData>
  <pageMargins left="0.7" right="0.7" top="0.75" bottom="0.75" header="0.3" footer="0.3"/>
  <pageSetup paperSize="1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workbookViewId="0">
      <pane ySplit="1" topLeftCell="A2" activePane="bottomLeft" state="frozen"/>
      <selection/>
      <selection pane="bottomLeft" activeCell="I46" sqref="I46"/>
    </sheetView>
  </sheetViews>
  <sheetFormatPr defaultColWidth="8.875" defaultRowHeight="13.5" outlineLevelRow="1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201</v>
      </c>
      <c r="F1" s="1" t="s">
        <v>130</v>
      </c>
      <c r="G1" s="1" t="s">
        <v>179</v>
      </c>
      <c r="H1" s="1" t="s">
        <v>202</v>
      </c>
      <c r="I1" s="1" t="s">
        <v>180</v>
      </c>
      <c r="J1" s="1" t="s">
        <v>181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133</v>
      </c>
      <c r="P1" s="1" t="s">
        <v>131</v>
      </c>
      <c r="Q1" s="1" t="s">
        <v>132</v>
      </c>
      <c r="R1" s="1" t="s">
        <v>207</v>
      </c>
      <c r="S1" s="1" t="s">
        <v>208</v>
      </c>
      <c r="T1" s="1" t="s">
        <v>134</v>
      </c>
    </row>
    <row r="2" spans="1:20">
      <c r="A2" s="1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875" defaultRowHeight="13.5" outlineLevelRow="2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179</v>
      </c>
      <c r="F1" s="1" t="s">
        <v>201</v>
      </c>
      <c r="G1" s="1" t="s">
        <v>130</v>
      </c>
      <c r="H1" s="1" t="s">
        <v>209</v>
      </c>
      <c r="I1" s="1" t="s">
        <v>210</v>
      </c>
      <c r="J1" s="1" t="s">
        <v>211</v>
      </c>
    </row>
    <row r="2" spans="1:10">
      <c r="A2" s="1">
        <v>0</v>
      </c>
      <c r="B2" t="s">
        <v>212</v>
      </c>
      <c r="C2">
        <v>1</v>
      </c>
      <c r="D2" t="s">
        <v>212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 s="1">
        <v>1</v>
      </c>
      <c r="B3" t="s">
        <v>213</v>
      </c>
      <c r="C3">
        <v>1</v>
      </c>
      <c r="D3" t="s">
        <v>213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7"/>
  <sheetViews>
    <sheetView workbookViewId="0">
      <pane ySplit="1" topLeftCell="A17" activePane="bottomLeft" state="frozen"/>
      <selection/>
      <selection pane="bottomLeft" activeCell="B2" sqref="B2:B47"/>
    </sheetView>
  </sheetViews>
  <sheetFormatPr defaultColWidth="8.875" defaultRowHeight="13.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214</v>
      </c>
      <c r="F1" s="1" t="s">
        <v>215</v>
      </c>
      <c r="G1" s="1" t="s">
        <v>201</v>
      </c>
      <c r="H1" s="1" t="s">
        <v>211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210</v>
      </c>
      <c r="N1" s="1" t="s">
        <v>209</v>
      </c>
      <c r="O1" s="1" t="s">
        <v>220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225</v>
      </c>
      <c r="U1" s="1" t="s">
        <v>226</v>
      </c>
      <c r="V1" s="1" t="s">
        <v>139</v>
      </c>
      <c r="W1" s="1" t="s">
        <v>135</v>
      </c>
      <c r="X1" s="1" t="s">
        <v>136</v>
      </c>
    </row>
    <row r="2" spans="1:21">
      <c r="A2" s="1">
        <v>0</v>
      </c>
      <c r="B2" t="s">
        <v>39</v>
      </c>
      <c r="C2">
        <v>1</v>
      </c>
      <c r="D2" t="s">
        <v>39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1">
      <c r="A3" s="1">
        <v>1</v>
      </c>
      <c r="B3" t="s">
        <v>41</v>
      </c>
      <c r="C3">
        <v>1</v>
      </c>
      <c r="D3" t="s">
        <v>41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1">
      <c r="A4" s="1">
        <v>2</v>
      </c>
      <c r="B4" t="s">
        <v>43</v>
      </c>
      <c r="C4">
        <v>1</v>
      </c>
      <c r="D4" t="s">
        <v>43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1">
      <c r="A5" s="1">
        <v>3</v>
      </c>
      <c r="B5" t="s">
        <v>45</v>
      </c>
      <c r="C5">
        <v>1</v>
      </c>
      <c r="D5" t="s">
        <v>45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1">
      <c r="A6" s="1">
        <v>4</v>
      </c>
      <c r="B6" t="s">
        <v>47</v>
      </c>
      <c r="C6">
        <v>1</v>
      </c>
      <c r="D6" t="s">
        <v>47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1">
      <c r="A7" s="1">
        <v>5</v>
      </c>
      <c r="B7" t="s">
        <v>49</v>
      </c>
      <c r="C7">
        <v>1</v>
      </c>
      <c r="D7" t="s">
        <v>49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1">
      <c r="A8" s="1">
        <v>6</v>
      </c>
      <c r="B8" t="s">
        <v>51</v>
      </c>
      <c r="C8">
        <v>1</v>
      </c>
      <c r="D8" t="s">
        <v>51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1">
      <c r="A9" s="1">
        <v>7</v>
      </c>
      <c r="B9" t="s">
        <v>53</v>
      </c>
      <c r="C9">
        <v>1</v>
      </c>
      <c r="D9" t="s">
        <v>53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1">
      <c r="A10" s="1">
        <v>8</v>
      </c>
      <c r="B10" t="s">
        <v>55</v>
      </c>
      <c r="C10">
        <v>1</v>
      </c>
      <c r="D10" t="s">
        <v>55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1">
      <c r="A11" s="1">
        <v>9</v>
      </c>
      <c r="B11" t="s">
        <v>57</v>
      </c>
      <c r="C11">
        <v>1</v>
      </c>
      <c r="D11" t="s">
        <v>57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1">
      <c r="A12" s="1">
        <v>10</v>
      </c>
      <c r="B12" t="s">
        <v>59</v>
      </c>
      <c r="C12">
        <v>1</v>
      </c>
      <c r="D12" t="s">
        <v>59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0.0006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1">
      <c r="A13" s="1">
        <v>11</v>
      </c>
      <c r="B13" t="s">
        <v>61</v>
      </c>
      <c r="C13">
        <v>1</v>
      </c>
      <c r="D13" t="s">
        <v>61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1">
      <c r="A14" s="1">
        <v>12</v>
      </c>
      <c r="B14" t="s">
        <v>63</v>
      </c>
      <c r="C14">
        <v>1</v>
      </c>
      <c r="D14" t="s">
        <v>63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1">
      <c r="A15" s="1">
        <v>13</v>
      </c>
      <c r="B15" t="s">
        <v>65</v>
      </c>
      <c r="C15">
        <v>1</v>
      </c>
      <c r="D15" t="s">
        <v>65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1">
      <c r="A16" s="1">
        <v>14</v>
      </c>
      <c r="B16" t="s">
        <v>67</v>
      </c>
      <c r="C16">
        <v>1</v>
      </c>
      <c r="D16" t="s">
        <v>67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 s="1">
        <v>15</v>
      </c>
      <c r="B17" t="s">
        <v>69</v>
      </c>
      <c r="C17">
        <v>1</v>
      </c>
      <c r="D17" t="s">
        <v>69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 s="1">
        <v>16</v>
      </c>
      <c r="B18" t="s">
        <v>71</v>
      </c>
      <c r="C18">
        <v>1</v>
      </c>
      <c r="D18" t="s">
        <v>71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 s="1">
        <v>17</v>
      </c>
      <c r="B19" t="s">
        <v>73</v>
      </c>
      <c r="C19">
        <v>1</v>
      </c>
      <c r="D19" t="s">
        <v>73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 s="1">
        <v>18</v>
      </c>
      <c r="B20" t="s">
        <v>75</v>
      </c>
      <c r="C20">
        <v>1</v>
      </c>
      <c r="D20" t="s">
        <v>75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 s="1">
        <v>19</v>
      </c>
      <c r="B21" t="s">
        <v>77</v>
      </c>
      <c r="C21">
        <v>1</v>
      </c>
      <c r="D21" t="s">
        <v>77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 s="1">
        <v>20</v>
      </c>
      <c r="B22" t="s">
        <v>79</v>
      </c>
      <c r="C22">
        <v>1</v>
      </c>
      <c r="D22" t="s">
        <v>79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 s="1">
        <v>21</v>
      </c>
      <c r="B23" t="s">
        <v>81</v>
      </c>
      <c r="C23">
        <v>1</v>
      </c>
      <c r="D23" t="s">
        <v>81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 s="1">
        <v>22</v>
      </c>
      <c r="B24" t="s">
        <v>83</v>
      </c>
      <c r="C24">
        <v>1</v>
      </c>
      <c r="D24" t="s">
        <v>83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 s="1">
        <v>23</v>
      </c>
      <c r="B25" t="s">
        <v>85</v>
      </c>
      <c r="C25">
        <v>1</v>
      </c>
      <c r="D25" t="s">
        <v>85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 s="1">
        <v>24</v>
      </c>
      <c r="B26" t="s">
        <v>87</v>
      </c>
      <c r="C26">
        <v>1</v>
      </c>
      <c r="D26" t="s">
        <v>87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 s="1">
        <v>25</v>
      </c>
      <c r="B27" t="s">
        <v>89</v>
      </c>
      <c r="C27">
        <v>1</v>
      </c>
      <c r="D27" t="s">
        <v>89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 s="1">
        <v>26</v>
      </c>
      <c r="B28" t="s">
        <v>91</v>
      </c>
      <c r="C28">
        <v>1</v>
      </c>
      <c r="D28" t="s">
        <v>91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 s="1">
        <v>27</v>
      </c>
      <c r="B29" t="s">
        <v>93</v>
      </c>
      <c r="C29">
        <v>1</v>
      </c>
      <c r="D29" t="s">
        <v>93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0.0006</v>
      </c>
      <c r="L29">
        <v>0.0096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 s="1">
        <v>28</v>
      </c>
      <c r="B30" t="s">
        <v>95</v>
      </c>
      <c r="C30">
        <v>1</v>
      </c>
      <c r="D30" t="s">
        <v>95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 s="1">
        <v>29</v>
      </c>
      <c r="B31" t="s">
        <v>97</v>
      </c>
      <c r="C31">
        <v>1</v>
      </c>
      <c r="D31" t="s">
        <v>97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 s="1">
        <v>30</v>
      </c>
      <c r="B32" t="s">
        <v>99</v>
      </c>
      <c r="C32">
        <v>1</v>
      </c>
      <c r="D32" t="s">
        <v>99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 s="1">
        <v>31</v>
      </c>
      <c r="B33" t="s">
        <v>101</v>
      </c>
      <c r="C33">
        <v>1</v>
      </c>
      <c r="D33" t="s">
        <v>101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 s="1">
        <v>32</v>
      </c>
      <c r="B34" t="s">
        <v>103</v>
      </c>
      <c r="C34">
        <v>1</v>
      </c>
      <c r="D34" t="s">
        <v>103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 s="1">
        <v>33</v>
      </c>
      <c r="B35" t="s">
        <v>105</v>
      </c>
      <c r="C35">
        <v>1</v>
      </c>
      <c r="D35" t="s">
        <v>105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 s="1">
        <v>34</v>
      </c>
      <c r="B36" t="s">
        <v>107</v>
      </c>
      <c r="C36">
        <v>1</v>
      </c>
      <c r="D36" t="s">
        <v>107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 s="1">
        <v>35</v>
      </c>
      <c r="B37" t="s">
        <v>109</v>
      </c>
      <c r="C37">
        <v>1</v>
      </c>
      <c r="D37" t="s">
        <v>109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 s="1">
        <v>36</v>
      </c>
      <c r="B38" t="s">
        <v>111</v>
      </c>
      <c r="C38">
        <v>1</v>
      </c>
      <c r="D38" t="s">
        <v>111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 s="1">
        <v>37</v>
      </c>
      <c r="B39" t="s">
        <v>113</v>
      </c>
      <c r="C39">
        <v>1</v>
      </c>
      <c r="D39" t="s">
        <v>113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 s="1">
        <v>38</v>
      </c>
      <c r="B40" t="s">
        <v>115</v>
      </c>
      <c r="C40">
        <v>1</v>
      </c>
      <c r="D40" t="s">
        <v>115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 s="1">
        <v>39</v>
      </c>
      <c r="B41" t="s">
        <v>117</v>
      </c>
      <c r="C41">
        <v>1</v>
      </c>
      <c r="D41" t="s">
        <v>117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 s="1">
        <v>40</v>
      </c>
      <c r="B42" t="s">
        <v>119</v>
      </c>
      <c r="C42">
        <v>1</v>
      </c>
      <c r="D42" t="s">
        <v>119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 s="1">
        <v>41</v>
      </c>
      <c r="B43" t="s">
        <v>121</v>
      </c>
      <c r="C43">
        <v>1</v>
      </c>
      <c r="D43" t="s">
        <v>121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 s="1">
        <v>42</v>
      </c>
      <c r="B44" t="s">
        <v>123</v>
      </c>
      <c r="C44">
        <v>1</v>
      </c>
      <c r="D44" t="s">
        <v>123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 s="1">
        <v>43</v>
      </c>
      <c r="B45" t="s">
        <v>125</v>
      </c>
      <c r="C45">
        <v>1</v>
      </c>
      <c r="D45" t="s">
        <v>125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 s="1">
        <v>44</v>
      </c>
      <c r="B46" t="s">
        <v>127</v>
      </c>
      <c r="C46">
        <v>1</v>
      </c>
      <c r="D46" t="s">
        <v>127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0.0006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 s="1">
        <v>45</v>
      </c>
      <c r="B47" t="s">
        <v>129</v>
      </c>
      <c r="C47">
        <v>1</v>
      </c>
      <c r="D47" t="s">
        <v>129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pane ySplit="1" topLeftCell="A2" activePane="bottomLeft" state="frozen"/>
      <selection/>
      <selection pane="bottomLeft" activeCell="C17" sqref="C17"/>
    </sheetView>
  </sheetViews>
  <sheetFormatPr defaultColWidth="8.875" defaultRowHeight="13.5" outlineLevelRow="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0</v>
      </c>
      <c r="B2">
        <v>1</v>
      </c>
      <c r="C2">
        <v>1</v>
      </c>
      <c r="D2" t="s">
        <v>227</v>
      </c>
    </row>
    <row r="3" spans="1:4">
      <c r="A3" s="1">
        <v>1</v>
      </c>
      <c r="B3">
        <v>2</v>
      </c>
      <c r="C3">
        <v>1</v>
      </c>
      <c r="D3" t="s">
        <v>228</v>
      </c>
    </row>
    <row r="4" spans="1:4">
      <c r="A4" s="1">
        <v>2</v>
      </c>
      <c r="B4">
        <v>3</v>
      </c>
      <c r="C4">
        <v>1</v>
      </c>
      <c r="D4" t="s">
        <v>229</v>
      </c>
    </row>
    <row r="5" spans="1:4">
      <c r="A5" s="1">
        <v>3</v>
      </c>
      <c r="B5">
        <v>4</v>
      </c>
      <c r="C5">
        <v>1</v>
      </c>
      <c r="D5" t="s">
        <v>230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"/>
  <sheetViews>
    <sheetView workbookViewId="0">
      <selection activeCell="D12" sqref="D12"/>
    </sheetView>
  </sheetViews>
  <sheetFormatPr defaultColWidth="9" defaultRowHeight="13.5" outlineLevelRow="1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179</v>
      </c>
      <c r="F1" s="1" t="s">
        <v>231</v>
      </c>
      <c r="G1" s="1" t="s">
        <v>201</v>
      </c>
      <c r="H1" s="1" t="s">
        <v>232</v>
      </c>
      <c r="I1" s="1" t="s">
        <v>233</v>
      </c>
      <c r="J1" s="1" t="s">
        <v>234</v>
      </c>
      <c r="K1" t="s">
        <v>235</v>
      </c>
      <c r="L1" t="s">
        <v>236</v>
      </c>
      <c r="M1" t="s">
        <v>211</v>
      </c>
      <c r="N1" t="s">
        <v>237</v>
      </c>
      <c r="O1" t="s">
        <v>238</v>
      </c>
      <c r="P1" t="s">
        <v>239</v>
      </c>
      <c r="Q1" t="s">
        <v>240</v>
      </c>
      <c r="R1" t="s">
        <v>241</v>
      </c>
      <c r="S1" t="s">
        <v>242</v>
      </c>
      <c r="T1" t="s">
        <v>243</v>
      </c>
      <c r="U1" t="s">
        <v>244</v>
      </c>
      <c r="V1" t="s">
        <v>245</v>
      </c>
      <c r="W1" t="s">
        <v>246</v>
      </c>
      <c r="X1" t="s">
        <v>247</v>
      </c>
      <c r="Y1" t="s">
        <v>248</v>
      </c>
      <c r="Z1" t="s">
        <v>249</v>
      </c>
      <c r="AA1" t="s">
        <v>250</v>
      </c>
      <c r="AB1" t="s">
        <v>251</v>
      </c>
      <c r="AC1" t="s">
        <v>252</v>
      </c>
      <c r="AD1" t="s">
        <v>253</v>
      </c>
      <c r="AE1" t="s">
        <v>254</v>
      </c>
      <c r="AF1" t="s">
        <v>255</v>
      </c>
      <c r="AG1" t="s">
        <v>256</v>
      </c>
      <c r="AH1" t="s">
        <v>257</v>
      </c>
      <c r="AI1" t="s">
        <v>258</v>
      </c>
      <c r="AJ1" t="s">
        <v>259</v>
      </c>
      <c r="AK1" t="s">
        <v>260</v>
      </c>
    </row>
    <row r="2" spans="1:37">
      <c r="A2" s="2">
        <v>0</v>
      </c>
      <c r="B2" s="2">
        <v>0</v>
      </c>
      <c r="C2" s="2">
        <v>1</v>
      </c>
      <c r="D2" s="2" t="s">
        <v>261</v>
      </c>
      <c r="E2">
        <v>31</v>
      </c>
      <c r="F2" s="3">
        <v>2</v>
      </c>
      <c r="G2">
        <v>836</v>
      </c>
      <c r="H2" s="2">
        <v>0</v>
      </c>
      <c r="I2" s="2">
        <v>0.2</v>
      </c>
      <c r="J2" s="2">
        <v>0.8</v>
      </c>
      <c r="K2" s="2">
        <v>0</v>
      </c>
      <c r="L2" s="2">
        <v>1</v>
      </c>
      <c r="M2" s="2">
        <v>60</v>
      </c>
      <c r="N2" s="2">
        <v>75</v>
      </c>
      <c r="O2" s="2">
        <v>-75</v>
      </c>
      <c r="P2" s="2">
        <v>0.033</v>
      </c>
      <c r="Q2" s="2">
        <v>0.045</v>
      </c>
      <c r="R2" s="2">
        <v>0.005</v>
      </c>
      <c r="S2" s="2">
        <v>0.005</v>
      </c>
      <c r="T2" s="2">
        <v>0.5</v>
      </c>
      <c r="U2" s="2">
        <v>20</v>
      </c>
      <c r="V2" s="2">
        <v>3</v>
      </c>
      <c r="W2" s="2">
        <v>10</v>
      </c>
      <c r="X2" s="2">
        <v>1</v>
      </c>
      <c r="Y2" s="2">
        <v>-1</v>
      </c>
      <c r="Z2" s="2">
        <v>5</v>
      </c>
      <c r="AA2" s="2">
        <v>30</v>
      </c>
      <c r="AB2" s="2">
        <v>1</v>
      </c>
      <c r="AC2" s="2">
        <v>-1</v>
      </c>
      <c r="AD2" s="2">
        <v>0.1</v>
      </c>
      <c r="AE2" s="2">
        <v>1.5</v>
      </c>
      <c r="AF2" s="2">
        <v>0.025</v>
      </c>
      <c r="AG2" s="2">
        <v>1</v>
      </c>
      <c r="AH2" s="2">
        <v>1</v>
      </c>
      <c r="AI2" s="2">
        <v>0.15</v>
      </c>
      <c r="AJ2" s="2">
        <v>0.11</v>
      </c>
      <c r="AK2" s="2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"/>
  <sheetViews>
    <sheetView topLeftCell="I1" workbookViewId="0">
      <pane ySplit="1" topLeftCell="A2" activePane="bottomLeft" state="frozen"/>
      <selection/>
      <selection pane="bottomLeft" activeCell="Q48" sqref="Q48"/>
    </sheetView>
  </sheetViews>
  <sheetFormatPr defaultColWidth="8.875" defaultRowHeight="13.5"/>
  <cols>
    <col min="4" max="4" width="11.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179</v>
      </c>
      <c r="F1" s="1" t="s">
        <v>231</v>
      </c>
      <c r="G1" s="1" t="s">
        <v>262</v>
      </c>
      <c r="H1" s="1" t="s">
        <v>201</v>
      </c>
      <c r="I1" s="1" t="s">
        <v>130</v>
      </c>
      <c r="J1" s="1" t="s">
        <v>211</v>
      </c>
      <c r="K1" s="1" t="s">
        <v>263</v>
      </c>
      <c r="L1" s="1" t="s">
        <v>264</v>
      </c>
      <c r="M1" s="1" t="s">
        <v>207</v>
      </c>
      <c r="N1" s="1" t="s">
        <v>265</v>
      </c>
      <c r="O1" s="1" t="s">
        <v>266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273</v>
      </c>
      <c r="W1" s="1" t="s">
        <v>274</v>
      </c>
      <c r="X1" s="1" t="s">
        <v>275</v>
      </c>
      <c r="Y1" s="1" t="s">
        <v>276</v>
      </c>
      <c r="Z1" s="1" t="s">
        <v>277</v>
      </c>
      <c r="AA1" s="1" t="s">
        <v>278</v>
      </c>
      <c r="AB1" s="1" t="s">
        <v>279</v>
      </c>
    </row>
    <row r="2" spans="1:28">
      <c r="A2" s="1">
        <v>0</v>
      </c>
      <c r="B2" t="s">
        <v>280</v>
      </c>
      <c r="C2">
        <v>1</v>
      </c>
      <c r="D2" t="s">
        <v>280</v>
      </c>
      <c r="E2">
        <v>30</v>
      </c>
      <c r="F2">
        <v>1</v>
      </c>
      <c r="G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f>V2*0.95</f>
        <v>0.007524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 s="1">
        <v>1</v>
      </c>
      <c r="B3" t="s">
        <v>281</v>
      </c>
      <c r="C3">
        <v>1</v>
      </c>
      <c r="D3" t="s">
        <v>281</v>
      </c>
      <c r="E3">
        <v>32</v>
      </c>
      <c r="F3">
        <v>3</v>
      </c>
      <c r="G3">
        <v>2</v>
      </c>
      <c r="H3">
        <v>843.7</v>
      </c>
      <c r="I3">
        <v>21</v>
      </c>
      <c r="J3">
        <v>60</v>
      </c>
      <c r="K3">
        <v>0</v>
      </c>
      <c r="L3">
        <v>7.16</v>
      </c>
      <c r="M3">
        <v>0.00386</v>
      </c>
      <c r="N3">
        <f t="shared" ref="N3:N10" si="0">V3*0.95</f>
        <v>0.24377</v>
      </c>
      <c r="O3">
        <v>0.531</v>
      </c>
      <c r="P3">
        <v>0</v>
      </c>
      <c r="Q3">
        <v>0</v>
      </c>
      <c r="R3">
        <v>0</v>
      </c>
      <c r="S3">
        <v>0</v>
      </c>
      <c r="T3">
        <v>2.495</v>
      </c>
      <c r="U3">
        <v>2.37</v>
      </c>
      <c r="V3">
        <v>0.2566</v>
      </c>
      <c r="W3">
        <v>0.531</v>
      </c>
      <c r="X3">
        <v>0.2566</v>
      </c>
      <c r="Y3">
        <v>5.7</v>
      </c>
      <c r="Z3">
        <v>0.03</v>
      </c>
      <c r="AA3">
        <v>1.5</v>
      </c>
      <c r="AB3">
        <v>0.04</v>
      </c>
    </row>
    <row r="4" spans="1:28">
      <c r="A4" s="1">
        <v>2</v>
      </c>
      <c r="B4" t="s">
        <v>282</v>
      </c>
      <c r="C4">
        <v>1</v>
      </c>
      <c r="D4" t="s">
        <v>282</v>
      </c>
      <c r="E4">
        <v>33</v>
      </c>
      <c r="F4">
        <v>4</v>
      </c>
      <c r="G4">
        <v>4</v>
      </c>
      <c r="H4">
        <v>1174.8</v>
      </c>
      <c r="I4">
        <v>21</v>
      </c>
      <c r="J4">
        <v>60</v>
      </c>
      <c r="K4">
        <v>0</v>
      </c>
      <c r="L4">
        <v>5.72</v>
      </c>
      <c r="M4">
        <v>0.00222</v>
      </c>
      <c r="N4">
        <f t="shared" si="0"/>
        <v>0.0076285</v>
      </c>
      <c r="O4">
        <v>0.436</v>
      </c>
      <c r="P4">
        <v>0</v>
      </c>
      <c r="Q4">
        <v>0</v>
      </c>
      <c r="R4">
        <v>0</v>
      </c>
      <c r="S4">
        <v>0</v>
      </c>
      <c r="T4">
        <v>2.62</v>
      </c>
      <c r="U4">
        <v>2.58</v>
      </c>
      <c r="V4">
        <v>0.00803</v>
      </c>
      <c r="W4">
        <v>0.436</v>
      </c>
      <c r="X4">
        <v>0.00803</v>
      </c>
      <c r="Y4">
        <v>5.69</v>
      </c>
      <c r="Z4">
        <v>0.03</v>
      </c>
      <c r="AA4">
        <v>1.5</v>
      </c>
      <c r="AB4">
        <v>0.04</v>
      </c>
    </row>
    <row r="5" spans="1:28">
      <c r="A5" s="1">
        <v>3</v>
      </c>
      <c r="B5" t="s">
        <v>283</v>
      </c>
      <c r="C5">
        <v>1</v>
      </c>
      <c r="D5" t="s">
        <v>283</v>
      </c>
      <c r="E5">
        <v>34</v>
      </c>
      <c r="F5">
        <v>5</v>
      </c>
      <c r="G5">
        <v>4</v>
      </c>
      <c r="H5">
        <v>1080.2</v>
      </c>
      <c r="I5">
        <v>15.5</v>
      </c>
      <c r="J5">
        <v>60</v>
      </c>
      <c r="K5">
        <v>0</v>
      </c>
      <c r="L5">
        <v>5.2</v>
      </c>
      <c r="M5">
        <v>0.0014</v>
      </c>
      <c r="N5">
        <f t="shared" si="0"/>
        <v>0.0054245</v>
      </c>
      <c r="O5">
        <v>1.32</v>
      </c>
      <c r="P5">
        <v>0</v>
      </c>
      <c r="Q5">
        <v>0</v>
      </c>
      <c r="R5">
        <v>0</v>
      </c>
      <c r="S5">
        <v>0</v>
      </c>
      <c r="T5">
        <v>6.7</v>
      </c>
      <c r="U5">
        <v>6.2</v>
      </c>
      <c r="V5">
        <v>0.00571</v>
      </c>
      <c r="W5">
        <v>1.32</v>
      </c>
      <c r="X5">
        <v>0.00571</v>
      </c>
      <c r="Y5">
        <v>5.4</v>
      </c>
      <c r="Z5">
        <v>0.03</v>
      </c>
      <c r="AA5">
        <v>0.44</v>
      </c>
      <c r="AB5">
        <v>0.04</v>
      </c>
    </row>
    <row r="6" spans="1:28">
      <c r="A6" s="1">
        <v>4</v>
      </c>
      <c r="B6" t="s">
        <v>284</v>
      </c>
      <c r="C6">
        <v>1</v>
      </c>
      <c r="D6" t="s">
        <v>284</v>
      </c>
      <c r="E6">
        <v>35</v>
      </c>
      <c r="F6">
        <v>6</v>
      </c>
      <c r="G6">
        <v>3</v>
      </c>
      <c r="H6">
        <v>1085.7</v>
      </c>
      <c r="I6">
        <v>15.5</v>
      </c>
      <c r="J6">
        <v>60</v>
      </c>
      <c r="K6">
        <v>0</v>
      </c>
      <c r="L6">
        <v>6.96</v>
      </c>
      <c r="M6">
        <v>0.0615</v>
      </c>
      <c r="N6">
        <f t="shared" si="0"/>
        <v>0.442111</v>
      </c>
      <c r="O6">
        <v>0.5</v>
      </c>
      <c r="P6">
        <v>0</v>
      </c>
      <c r="Q6">
        <v>0</v>
      </c>
      <c r="R6">
        <v>0</v>
      </c>
      <c r="S6">
        <v>0</v>
      </c>
      <c r="T6">
        <v>2.54</v>
      </c>
      <c r="U6">
        <v>2.41</v>
      </c>
      <c r="V6">
        <v>0.46538</v>
      </c>
      <c r="W6">
        <v>0.5</v>
      </c>
      <c r="X6">
        <v>0.46538</v>
      </c>
      <c r="Y6">
        <v>7.3</v>
      </c>
      <c r="Z6">
        <v>0.03</v>
      </c>
      <c r="AA6">
        <v>0.4</v>
      </c>
      <c r="AB6">
        <v>0.04</v>
      </c>
    </row>
    <row r="7" spans="1:28">
      <c r="A7" s="1">
        <v>5</v>
      </c>
      <c r="B7" t="s">
        <v>285</v>
      </c>
      <c r="C7">
        <v>1</v>
      </c>
      <c r="D7" t="s">
        <v>285</v>
      </c>
      <c r="E7">
        <v>36</v>
      </c>
      <c r="F7">
        <v>7</v>
      </c>
      <c r="G7">
        <v>4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f t="shared" si="0"/>
        <v>0.0203395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 s="1">
        <v>6</v>
      </c>
      <c r="B8" t="s">
        <v>286</v>
      </c>
      <c r="C8">
        <v>1</v>
      </c>
      <c r="D8" t="s">
        <v>286</v>
      </c>
      <c r="E8">
        <v>37</v>
      </c>
      <c r="F8">
        <v>8</v>
      </c>
      <c r="G8">
        <v>1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f t="shared" si="0"/>
        <v>0.057722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 s="1">
        <v>7</v>
      </c>
      <c r="B9" t="s">
        <v>287</v>
      </c>
      <c r="C9">
        <v>1</v>
      </c>
      <c r="D9" t="s">
        <v>287</v>
      </c>
      <c r="E9">
        <v>38</v>
      </c>
      <c r="F9">
        <v>9</v>
      </c>
      <c r="G9">
        <v>3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f t="shared" si="0"/>
        <v>0.011153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 s="1">
        <v>8</v>
      </c>
      <c r="B10" t="s">
        <v>288</v>
      </c>
      <c r="C10">
        <v>1</v>
      </c>
      <c r="D10" t="s">
        <v>288</v>
      </c>
      <c r="E10">
        <v>39</v>
      </c>
      <c r="F10">
        <v>10</v>
      </c>
      <c r="G10">
        <v>1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f t="shared" si="0"/>
        <v>0.00247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pane ySplit="1" topLeftCell="A2" activePane="bottomLeft" state="frozen"/>
      <selection/>
      <selection pane="bottomLeft" activeCell="H42" sqref="H42"/>
    </sheetView>
  </sheetViews>
  <sheetFormatPr defaultColWidth="8.875" defaultRowHeight="13.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298</v>
      </c>
    </row>
    <row r="2" spans="1:14">
      <c r="A2" s="1">
        <v>0</v>
      </c>
      <c r="B2" t="s">
        <v>299</v>
      </c>
      <c r="C2">
        <v>1</v>
      </c>
      <c r="D2" t="s">
        <v>299</v>
      </c>
      <c r="E2" t="s">
        <v>280</v>
      </c>
      <c r="G2">
        <v>1</v>
      </c>
      <c r="H2">
        <v>0.05</v>
      </c>
      <c r="I2">
        <v>1.01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>
      <c r="A3" s="1">
        <v>1</v>
      </c>
      <c r="B3" t="s">
        <v>300</v>
      </c>
      <c r="C3">
        <v>1</v>
      </c>
      <c r="D3" t="s">
        <v>300</v>
      </c>
      <c r="E3" t="s">
        <v>281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>
      <c r="A4" s="1">
        <v>2</v>
      </c>
      <c r="B4" t="s">
        <v>301</v>
      </c>
      <c r="C4">
        <v>1</v>
      </c>
      <c r="D4" t="s">
        <v>301</v>
      </c>
      <c r="E4" t="s">
        <v>282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>
      <c r="A5" s="1">
        <v>3</v>
      </c>
      <c r="B5" t="s">
        <v>302</v>
      </c>
      <c r="C5">
        <v>1</v>
      </c>
      <c r="D5" t="s">
        <v>302</v>
      </c>
      <c r="E5" t="s">
        <v>283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>
      <c r="A6" s="1">
        <v>4</v>
      </c>
      <c r="B6" t="s">
        <v>303</v>
      </c>
      <c r="C6">
        <v>1</v>
      </c>
      <c r="D6" t="s">
        <v>303</v>
      </c>
      <c r="E6" t="s">
        <v>284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>
      <c r="A7" s="1">
        <v>5</v>
      </c>
      <c r="B7" t="s">
        <v>304</v>
      </c>
      <c r="C7">
        <v>1</v>
      </c>
      <c r="D7" t="s">
        <v>304</v>
      </c>
      <c r="E7" t="s">
        <v>285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>
      <c r="A8" s="1">
        <v>6</v>
      </c>
      <c r="B8" t="s">
        <v>305</v>
      </c>
      <c r="C8">
        <v>1</v>
      </c>
      <c r="D8" t="s">
        <v>305</v>
      </c>
      <c r="E8" t="s">
        <v>286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  <row r="9" spans="1:14">
      <c r="A9" s="1">
        <v>7</v>
      </c>
      <c r="B9" t="s">
        <v>306</v>
      </c>
      <c r="C9">
        <v>1</v>
      </c>
      <c r="D9" t="s">
        <v>306</v>
      </c>
      <c r="E9" t="s">
        <v>287</v>
      </c>
      <c r="G9">
        <v>1</v>
      </c>
      <c r="H9">
        <v>0.05</v>
      </c>
      <c r="I9">
        <v>1.05</v>
      </c>
      <c r="J9">
        <v>0.1</v>
      </c>
      <c r="K9">
        <v>0.05</v>
      </c>
      <c r="L9">
        <v>1</v>
      </c>
      <c r="M9">
        <v>2.1</v>
      </c>
      <c r="N9">
        <v>0</v>
      </c>
    </row>
    <row r="10" spans="1:14">
      <c r="A10" s="1">
        <v>8</v>
      </c>
      <c r="B10" t="s">
        <v>307</v>
      </c>
      <c r="C10">
        <v>1</v>
      </c>
      <c r="D10" t="s">
        <v>307</v>
      </c>
      <c r="E10" t="s">
        <v>288</v>
      </c>
      <c r="G10">
        <v>1</v>
      </c>
      <c r="H10">
        <v>0.05</v>
      </c>
      <c r="I10">
        <v>1.05</v>
      </c>
      <c r="J10">
        <v>0.1</v>
      </c>
      <c r="K10">
        <v>0.05</v>
      </c>
      <c r="L10">
        <v>1</v>
      </c>
      <c r="M10">
        <v>2.1</v>
      </c>
      <c r="N10">
        <v>0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workbookViewId="0">
      <pane ySplit="1" topLeftCell="A2" activePane="bottomLeft" state="frozen"/>
      <selection/>
      <selection pane="bottomLeft" activeCell="E10" sqref="E2:E10"/>
    </sheetView>
  </sheetViews>
  <sheetFormatPr defaultColWidth="8.875" defaultRowHeight="13.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289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  <c r="K1" s="1" t="s">
        <v>313</v>
      </c>
      <c r="L1" s="1" t="s">
        <v>314</v>
      </c>
      <c r="M1" s="1" t="s">
        <v>315</v>
      </c>
      <c r="N1" s="1" t="s">
        <v>316</v>
      </c>
      <c r="O1" s="1" t="s">
        <v>317</v>
      </c>
      <c r="P1" s="1" t="s">
        <v>318</v>
      </c>
      <c r="Q1" s="1" t="s">
        <v>319</v>
      </c>
      <c r="R1" s="1" t="s">
        <v>320</v>
      </c>
      <c r="S1" s="1" t="s">
        <v>321</v>
      </c>
      <c r="T1" s="1" t="s">
        <v>322</v>
      </c>
    </row>
    <row r="2" spans="1:20">
      <c r="A2" s="1">
        <v>0</v>
      </c>
      <c r="B2" t="s">
        <v>323</v>
      </c>
      <c r="C2">
        <v>1</v>
      </c>
      <c r="D2" t="s">
        <v>323</v>
      </c>
      <c r="E2" t="s">
        <v>280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>
      <c r="A3" s="1">
        <v>1</v>
      </c>
      <c r="B3" t="s">
        <v>324</v>
      </c>
      <c r="C3">
        <v>1</v>
      </c>
      <c r="D3" t="s">
        <v>324</v>
      </c>
      <c r="E3" t="s">
        <v>281</v>
      </c>
      <c r="F3">
        <v>0</v>
      </c>
      <c r="G3">
        <v>0.06</v>
      </c>
      <c r="H3">
        <v>0</v>
      </c>
      <c r="I3">
        <v>0</v>
      </c>
      <c r="J3">
        <v>0.5</v>
      </c>
      <c r="K3">
        <v>1.3</v>
      </c>
      <c r="L3">
        <v>0.23</v>
      </c>
      <c r="M3">
        <v>10.1</v>
      </c>
      <c r="N3">
        <v>-0.02</v>
      </c>
      <c r="O3">
        <v>5</v>
      </c>
      <c r="P3">
        <v>-5</v>
      </c>
      <c r="Q3">
        <v>3</v>
      </c>
      <c r="R3">
        <v>0.13</v>
      </c>
      <c r="S3">
        <v>4</v>
      </c>
      <c r="T3">
        <v>0.34</v>
      </c>
    </row>
    <row r="4" spans="1:20">
      <c r="A4" s="1">
        <v>2</v>
      </c>
      <c r="B4" t="s">
        <v>325</v>
      </c>
      <c r="C4">
        <v>1</v>
      </c>
      <c r="D4" t="s">
        <v>325</v>
      </c>
      <c r="E4" t="s">
        <v>282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-0.05</v>
      </c>
      <c r="O4">
        <v>5</v>
      </c>
      <c r="P4">
        <v>-5</v>
      </c>
      <c r="Q4">
        <v>3</v>
      </c>
      <c r="R4">
        <v>0.08</v>
      </c>
      <c r="S4">
        <v>4</v>
      </c>
      <c r="T4">
        <v>0.31</v>
      </c>
    </row>
    <row r="5" spans="1:20">
      <c r="A5" s="1">
        <v>3</v>
      </c>
      <c r="B5" t="s">
        <v>326</v>
      </c>
      <c r="C5">
        <v>1</v>
      </c>
      <c r="D5" t="s">
        <v>326</v>
      </c>
      <c r="E5" t="s">
        <v>283</v>
      </c>
      <c r="F5">
        <v>0</v>
      </c>
      <c r="G5">
        <v>0.02</v>
      </c>
      <c r="H5">
        <v>0</v>
      </c>
      <c r="I5">
        <v>0</v>
      </c>
      <c r="J5">
        <v>0.785</v>
      </c>
      <c r="K5">
        <v>1.3</v>
      </c>
      <c r="L5">
        <v>0.23</v>
      </c>
      <c r="M5">
        <v>40</v>
      </c>
      <c r="N5">
        <v>-0.04</v>
      </c>
      <c r="O5">
        <v>9.9</v>
      </c>
      <c r="P5">
        <v>-9.9</v>
      </c>
      <c r="Q5">
        <v>3</v>
      </c>
      <c r="R5">
        <v>0.03</v>
      </c>
      <c r="S5">
        <v>4</v>
      </c>
      <c r="T5">
        <v>0.91</v>
      </c>
    </row>
    <row r="6" spans="1:20">
      <c r="A6" s="1">
        <v>4</v>
      </c>
      <c r="B6" t="s">
        <v>327</v>
      </c>
      <c r="C6">
        <v>1</v>
      </c>
      <c r="D6" t="s">
        <v>327</v>
      </c>
      <c r="E6" t="s">
        <v>284</v>
      </c>
      <c r="F6">
        <v>0</v>
      </c>
      <c r="G6">
        <v>0.02</v>
      </c>
      <c r="H6">
        <v>0</v>
      </c>
      <c r="I6">
        <v>0</v>
      </c>
      <c r="J6">
        <v>0.471</v>
      </c>
      <c r="K6">
        <v>1.3</v>
      </c>
      <c r="L6">
        <v>0.23</v>
      </c>
      <c r="M6">
        <v>10.1</v>
      </c>
      <c r="N6">
        <v>1</v>
      </c>
      <c r="O6">
        <v>5</v>
      </c>
      <c r="P6">
        <v>-5</v>
      </c>
      <c r="Q6">
        <v>3</v>
      </c>
      <c r="R6">
        <v>0.08</v>
      </c>
      <c r="S6">
        <v>4</v>
      </c>
      <c r="T6">
        <v>0.25</v>
      </c>
    </row>
    <row r="7" spans="1:20">
      <c r="A7" s="1">
        <v>5</v>
      </c>
      <c r="B7" t="s">
        <v>328</v>
      </c>
      <c r="C7">
        <v>1</v>
      </c>
      <c r="D7" t="s">
        <v>328</v>
      </c>
      <c r="E7" t="s">
        <v>285</v>
      </c>
      <c r="F7">
        <v>0</v>
      </c>
      <c r="G7">
        <v>0.02</v>
      </c>
      <c r="H7">
        <v>0</v>
      </c>
      <c r="I7">
        <v>0</v>
      </c>
      <c r="J7">
        <v>0.73</v>
      </c>
      <c r="K7">
        <v>1.3</v>
      </c>
      <c r="L7">
        <v>0.23</v>
      </c>
      <c r="M7">
        <v>40</v>
      </c>
      <c r="N7">
        <v>1</v>
      </c>
      <c r="O7">
        <v>6.5</v>
      </c>
      <c r="P7">
        <v>-6.5</v>
      </c>
      <c r="Q7">
        <v>3</v>
      </c>
      <c r="R7">
        <v>0.03</v>
      </c>
      <c r="S7">
        <v>4</v>
      </c>
      <c r="T7">
        <v>0.74</v>
      </c>
    </row>
    <row r="8" spans="1:20">
      <c r="A8" s="1">
        <v>6</v>
      </c>
      <c r="B8" t="s">
        <v>329</v>
      </c>
      <c r="C8">
        <v>1</v>
      </c>
      <c r="D8" t="s">
        <v>329</v>
      </c>
      <c r="E8" t="s">
        <v>286</v>
      </c>
      <c r="F8">
        <v>0</v>
      </c>
      <c r="G8">
        <v>0.02</v>
      </c>
      <c r="H8">
        <v>0</v>
      </c>
      <c r="I8">
        <v>0</v>
      </c>
      <c r="J8">
        <v>0.528</v>
      </c>
      <c r="K8">
        <v>1.3</v>
      </c>
      <c r="L8">
        <v>0.23</v>
      </c>
      <c r="M8">
        <v>10.1</v>
      </c>
      <c r="N8">
        <v>-0.05</v>
      </c>
      <c r="O8">
        <v>5</v>
      </c>
      <c r="P8">
        <v>-5</v>
      </c>
      <c r="Q8">
        <v>3</v>
      </c>
      <c r="R8">
        <v>0.09</v>
      </c>
      <c r="S8">
        <v>4</v>
      </c>
      <c r="T8">
        <v>0.28</v>
      </c>
    </row>
    <row r="9" spans="1:20">
      <c r="A9" s="1">
        <v>7</v>
      </c>
      <c r="B9" t="s">
        <v>330</v>
      </c>
      <c r="C9">
        <v>1</v>
      </c>
      <c r="D9" t="s">
        <v>330</v>
      </c>
      <c r="E9" t="s">
        <v>287</v>
      </c>
      <c r="F9">
        <v>0</v>
      </c>
      <c r="G9">
        <v>0.02</v>
      </c>
      <c r="H9">
        <v>0</v>
      </c>
      <c r="I9">
        <v>0</v>
      </c>
      <c r="J9">
        <v>0.95</v>
      </c>
      <c r="K9">
        <v>1.3</v>
      </c>
      <c r="L9">
        <v>0.23</v>
      </c>
      <c r="M9">
        <v>40</v>
      </c>
      <c r="N9">
        <v>1</v>
      </c>
      <c r="O9">
        <v>9.9</v>
      </c>
      <c r="P9">
        <v>-9.9</v>
      </c>
      <c r="Q9">
        <v>3</v>
      </c>
      <c r="R9">
        <v>0.03</v>
      </c>
      <c r="S9">
        <v>4</v>
      </c>
      <c r="T9">
        <v>0.85</v>
      </c>
    </row>
    <row r="10" spans="1:20">
      <c r="A10" s="1">
        <v>8</v>
      </c>
      <c r="B10" t="s">
        <v>331</v>
      </c>
      <c r="C10">
        <v>1</v>
      </c>
      <c r="D10" t="s">
        <v>331</v>
      </c>
      <c r="E10" t="s">
        <v>288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10.1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"/>
  <sheetViews>
    <sheetView workbookViewId="0">
      <pane ySplit="1" topLeftCell="A2" activePane="bottomLeft" state="frozen"/>
      <selection/>
      <selection pane="bottomLeft" activeCell="A2" sqref="A2:A10"/>
    </sheetView>
  </sheetViews>
  <sheetFormatPr defaultColWidth="8.875" defaultRowHeight="13.5"/>
  <cols>
    <col min="8" max="8" width="10.62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332</v>
      </c>
      <c r="F1" s="1" t="s">
        <v>333</v>
      </c>
      <c r="G1" s="1" t="s">
        <v>202</v>
      </c>
      <c r="H1" s="1" t="s">
        <v>334</v>
      </c>
      <c r="I1" s="1" t="s">
        <v>335</v>
      </c>
      <c r="J1" s="1" t="s">
        <v>336</v>
      </c>
      <c r="K1" s="1" t="s">
        <v>337</v>
      </c>
      <c r="L1" s="1" t="s">
        <v>338</v>
      </c>
      <c r="M1" s="1" t="s">
        <v>339</v>
      </c>
      <c r="N1" s="1" t="s">
        <v>340</v>
      </c>
      <c r="O1" s="1" t="s">
        <v>295</v>
      </c>
      <c r="P1" s="1" t="s">
        <v>296</v>
      </c>
      <c r="Q1" s="1" t="s">
        <v>297</v>
      </c>
      <c r="R1" s="1" t="s">
        <v>341</v>
      </c>
      <c r="S1" s="1" t="s">
        <v>342</v>
      </c>
      <c r="T1" s="1" t="s">
        <v>343</v>
      </c>
      <c r="U1" s="1" t="s">
        <v>344</v>
      </c>
      <c r="V1" s="1" t="s">
        <v>345</v>
      </c>
      <c r="W1" s="1" t="s">
        <v>346</v>
      </c>
      <c r="X1" s="1" t="s">
        <v>347</v>
      </c>
      <c r="Y1" s="1" t="s">
        <v>348</v>
      </c>
    </row>
    <row r="2" spans="1:25">
      <c r="A2" s="1">
        <v>0</v>
      </c>
      <c r="B2" t="s">
        <v>349</v>
      </c>
      <c r="C2">
        <v>1</v>
      </c>
      <c r="D2" t="s">
        <v>349</v>
      </c>
      <c r="E2" t="s">
        <v>323</v>
      </c>
      <c r="F2">
        <v>3</v>
      </c>
      <c r="H2" t="s">
        <v>350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 s="1">
        <v>1</v>
      </c>
      <c r="B3" t="s">
        <v>351</v>
      </c>
      <c r="C3">
        <v>1</v>
      </c>
      <c r="D3" t="s">
        <v>351</v>
      </c>
      <c r="E3" t="s">
        <v>324</v>
      </c>
      <c r="F3">
        <v>3</v>
      </c>
      <c r="H3" t="s">
        <v>352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 s="1">
        <v>2</v>
      </c>
      <c r="B4" t="s">
        <v>353</v>
      </c>
      <c r="C4">
        <v>1</v>
      </c>
      <c r="D4" t="s">
        <v>353</v>
      </c>
      <c r="E4" t="s">
        <v>325</v>
      </c>
      <c r="F4">
        <v>3</v>
      </c>
      <c r="H4" t="s">
        <v>354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 s="1">
        <v>3</v>
      </c>
      <c r="B5" t="s">
        <v>355</v>
      </c>
      <c r="C5">
        <v>1</v>
      </c>
      <c r="D5" t="s">
        <v>355</v>
      </c>
      <c r="E5" t="s">
        <v>326</v>
      </c>
      <c r="F5">
        <v>3</v>
      </c>
      <c r="H5" t="s">
        <v>356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 s="1">
        <v>4</v>
      </c>
      <c r="B6" t="s">
        <v>357</v>
      </c>
      <c r="C6">
        <v>1</v>
      </c>
      <c r="D6" t="s">
        <v>357</v>
      </c>
      <c r="E6" t="s">
        <v>327</v>
      </c>
      <c r="F6">
        <v>3</v>
      </c>
      <c r="H6" t="s">
        <v>358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 s="1">
        <v>5</v>
      </c>
      <c r="B7" t="s">
        <v>359</v>
      </c>
      <c r="C7">
        <v>1</v>
      </c>
      <c r="D7" t="s">
        <v>359</v>
      </c>
      <c r="E7" t="s">
        <v>328</v>
      </c>
      <c r="F7">
        <v>3</v>
      </c>
      <c r="H7" t="s">
        <v>360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>
      <c r="A8" s="1">
        <v>6</v>
      </c>
      <c r="B8" t="s">
        <v>361</v>
      </c>
      <c r="C8">
        <v>1</v>
      </c>
      <c r="D8" t="s">
        <v>361</v>
      </c>
      <c r="E8" t="s">
        <v>329</v>
      </c>
      <c r="F8">
        <v>3</v>
      </c>
      <c r="H8" t="s">
        <v>362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>
      <c r="A9" s="1">
        <v>7</v>
      </c>
      <c r="B9" t="s">
        <v>363</v>
      </c>
      <c r="C9">
        <v>1</v>
      </c>
      <c r="D9" t="s">
        <v>363</v>
      </c>
      <c r="E9" t="s">
        <v>330</v>
      </c>
      <c r="F9">
        <v>3</v>
      </c>
      <c r="H9" t="s">
        <v>364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  <row r="10" spans="1:25">
      <c r="A10" s="1">
        <v>8</v>
      </c>
      <c r="B10" t="s">
        <v>365</v>
      </c>
      <c r="C10">
        <v>1</v>
      </c>
      <c r="D10" t="s">
        <v>365</v>
      </c>
      <c r="E10" t="s">
        <v>331</v>
      </c>
      <c r="F10">
        <v>3</v>
      </c>
      <c r="H10" t="s">
        <v>366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0.75</v>
      </c>
      <c r="S10">
        <v>1</v>
      </c>
      <c r="T10">
        <v>4.2</v>
      </c>
      <c r="U10">
        <v>-2</v>
      </c>
      <c r="V10">
        <v>0.1</v>
      </c>
      <c r="W10">
        <v>-0.1</v>
      </c>
      <c r="X10">
        <v>0</v>
      </c>
      <c r="Y10">
        <v>0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D5" sqref="D5:D11"/>
    </sheetView>
  </sheetViews>
  <sheetFormatPr defaultColWidth="8.875" defaultRowHeight="13.5" outlineLevelCol="7"/>
  <cols>
    <col min="2" max="2" width="10.625" customWidth="1"/>
    <col min="4" max="4" width="10.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179</v>
      </c>
      <c r="F1" s="1" t="s">
        <v>367</v>
      </c>
      <c r="G1" s="1" t="s">
        <v>368</v>
      </c>
      <c r="H1" s="1" t="s">
        <v>211</v>
      </c>
    </row>
    <row r="2" spans="1:8">
      <c r="A2" s="1">
        <v>0</v>
      </c>
      <c r="B2" t="s">
        <v>350</v>
      </c>
      <c r="C2">
        <v>1</v>
      </c>
      <c r="D2" t="s">
        <v>350</v>
      </c>
      <c r="E2">
        <v>30</v>
      </c>
      <c r="F2">
        <v>0.02</v>
      </c>
      <c r="G2">
        <v>0.02</v>
      </c>
      <c r="H2">
        <v>60</v>
      </c>
    </row>
    <row r="3" spans="1:8">
      <c r="A3" s="1">
        <v>1</v>
      </c>
      <c r="B3" t="s">
        <v>369</v>
      </c>
      <c r="C3">
        <v>1</v>
      </c>
      <c r="D3" t="s">
        <v>369</v>
      </c>
      <c r="E3">
        <v>31</v>
      </c>
      <c r="F3">
        <v>0.02</v>
      </c>
      <c r="G3">
        <v>0.02</v>
      </c>
      <c r="H3">
        <v>60</v>
      </c>
    </row>
    <row r="4" spans="1:8">
      <c r="A4" s="1">
        <v>2</v>
      </c>
      <c r="B4" t="s">
        <v>352</v>
      </c>
      <c r="C4">
        <v>1</v>
      </c>
      <c r="D4" t="s">
        <v>352</v>
      </c>
      <c r="E4">
        <v>32</v>
      </c>
      <c r="F4">
        <v>0.02</v>
      </c>
      <c r="G4">
        <v>0.02</v>
      </c>
      <c r="H4">
        <v>60</v>
      </c>
    </row>
    <row r="5" spans="1:8">
      <c r="A5" s="1">
        <v>3</v>
      </c>
      <c r="B5" t="s">
        <v>354</v>
      </c>
      <c r="C5">
        <v>1</v>
      </c>
      <c r="D5" t="s">
        <v>354</v>
      </c>
      <c r="E5">
        <v>33</v>
      </c>
      <c r="F5">
        <v>0.02</v>
      </c>
      <c r="G5">
        <v>0.02</v>
      </c>
      <c r="H5">
        <v>60</v>
      </c>
    </row>
    <row r="6" spans="1:8">
      <c r="A6" s="1">
        <v>4</v>
      </c>
      <c r="B6" t="s">
        <v>356</v>
      </c>
      <c r="C6">
        <v>1</v>
      </c>
      <c r="D6" t="s">
        <v>356</v>
      </c>
      <c r="E6">
        <v>34</v>
      </c>
      <c r="F6">
        <v>0.02</v>
      </c>
      <c r="G6">
        <v>0.02</v>
      </c>
      <c r="H6">
        <v>60</v>
      </c>
    </row>
    <row r="7" spans="1:8">
      <c r="A7" s="1">
        <v>5</v>
      </c>
      <c r="B7" t="s">
        <v>358</v>
      </c>
      <c r="C7">
        <v>1</v>
      </c>
      <c r="D7" t="s">
        <v>358</v>
      </c>
      <c r="E7">
        <v>35</v>
      </c>
      <c r="F7">
        <v>0.02</v>
      </c>
      <c r="G7">
        <v>0.02</v>
      </c>
      <c r="H7">
        <v>60</v>
      </c>
    </row>
    <row r="8" spans="1:8">
      <c r="A8" s="1">
        <v>6</v>
      </c>
      <c r="B8" t="s">
        <v>360</v>
      </c>
      <c r="C8">
        <v>1</v>
      </c>
      <c r="D8" t="s">
        <v>360</v>
      </c>
      <c r="E8">
        <v>36</v>
      </c>
      <c r="F8">
        <v>0.02</v>
      </c>
      <c r="G8">
        <v>0.02</v>
      </c>
      <c r="H8">
        <v>60</v>
      </c>
    </row>
    <row r="9" spans="1:8">
      <c r="A9" s="1">
        <v>7</v>
      </c>
      <c r="B9" t="s">
        <v>362</v>
      </c>
      <c r="C9">
        <v>1</v>
      </c>
      <c r="D9" t="s">
        <v>362</v>
      </c>
      <c r="E9">
        <v>37</v>
      </c>
      <c r="F9">
        <v>0.02</v>
      </c>
      <c r="G9">
        <v>0.02</v>
      </c>
      <c r="H9">
        <v>60</v>
      </c>
    </row>
    <row r="10" spans="1:8">
      <c r="A10" s="1">
        <v>8</v>
      </c>
      <c r="B10" t="s">
        <v>364</v>
      </c>
      <c r="C10">
        <v>1</v>
      </c>
      <c r="D10" t="s">
        <v>364</v>
      </c>
      <c r="E10">
        <v>38</v>
      </c>
      <c r="F10">
        <v>0.02</v>
      </c>
      <c r="G10">
        <v>0.02</v>
      </c>
      <c r="H10">
        <v>60</v>
      </c>
    </row>
    <row r="11" spans="1:8">
      <c r="A11" s="1">
        <v>9</v>
      </c>
      <c r="B11" t="s">
        <v>366</v>
      </c>
      <c r="C11">
        <v>1</v>
      </c>
      <c r="D11" t="s">
        <v>366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G20" sqref="G20"/>
    </sheetView>
  </sheetViews>
  <sheetFormatPr defaultColWidth="9" defaultRowHeight="13.5"/>
  <cols>
    <col min="2" max="2" width="11.75" customWidth="1"/>
    <col min="4" max="4" width="12.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179</v>
      </c>
      <c r="F1" s="1" t="s">
        <v>367</v>
      </c>
      <c r="G1" s="1" t="s">
        <v>368</v>
      </c>
      <c r="H1" s="1" t="s">
        <v>211</v>
      </c>
      <c r="I1" s="1" t="s">
        <v>241</v>
      </c>
    </row>
    <row r="2" spans="1:9">
      <c r="A2" s="1">
        <v>0</v>
      </c>
      <c r="B2" t="s">
        <v>370</v>
      </c>
      <c r="C2">
        <v>1</v>
      </c>
      <c r="D2" t="s">
        <v>370</v>
      </c>
      <c r="E2">
        <v>30</v>
      </c>
      <c r="F2">
        <v>0.02</v>
      </c>
      <c r="G2">
        <v>0.02</v>
      </c>
      <c r="H2">
        <v>60</v>
      </c>
      <c r="I2">
        <v>0.1</v>
      </c>
    </row>
    <row r="3" spans="1:9">
      <c r="A3" s="1">
        <v>1</v>
      </c>
      <c r="B3" t="s">
        <v>371</v>
      </c>
      <c r="C3">
        <v>1</v>
      </c>
      <c r="D3" t="s">
        <v>371</v>
      </c>
      <c r="E3">
        <v>31</v>
      </c>
      <c r="F3">
        <v>0.02</v>
      </c>
      <c r="G3">
        <v>0.02</v>
      </c>
      <c r="H3">
        <v>60</v>
      </c>
      <c r="I3">
        <v>0.1</v>
      </c>
    </row>
    <row r="4" spans="1:9">
      <c r="A4" s="1">
        <v>2</v>
      </c>
      <c r="B4" t="s">
        <v>372</v>
      </c>
      <c r="C4">
        <v>1</v>
      </c>
      <c r="D4" t="s">
        <v>372</v>
      </c>
      <c r="E4">
        <v>32</v>
      </c>
      <c r="F4">
        <v>0.02</v>
      </c>
      <c r="G4">
        <v>0.02</v>
      </c>
      <c r="H4">
        <v>60</v>
      </c>
      <c r="I4">
        <v>0.1</v>
      </c>
    </row>
    <row r="5" spans="1:9">
      <c r="A5" s="1">
        <v>3</v>
      </c>
      <c r="B5" t="s">
        <v>373</v>
      </c>
      <c r="C5">
        <v>1</v>
      </c>
      <c r="D5" t="s">
        <v>373</v>
      </c>
      <c r="E5">
        <v>33</v>
      </c>
      <c r="F5">
        <v>0.02</v>
      </c>
      <c r="G5">
        <v>0.02</v>
      </c>
      <c r="H5">
        <v>60</v>
      </c>
      <c r="I5">
        <v>0.1</v>
      </c>
    </row>
    <row r="6" spans="1:9">
      <c r="A6" s="1">
        <v>4</v>
      </c>
      <c r="B6" t="s">
        <v>374</v>
      </c>
      <c r="C6">
        <v>1</v>
      </c>
      <c r="D6" t="s">
        <v>374</v>
      </c>
      <c r="E6">
        <v>34</v>
      </c>
      <c r="F6">
        <v>0.02</v>
      </c>
      <c r="G6">
        <v>0.02</v>
      </c>
      <c r="H6">
        <v>60</v>
      </c>
      <c r="I6">
        <v>0.1</v>
      </c>
    </row>
    <row r="7" spans="1:9">
      <c r="A7" s="1">
        <v>5</v>
      </c>
      <c r="B7" t="s">
        <v>375</v>
      </c>
      <c r="C7">
        <v>1</v>
      </c>
      <c r="D7" t="s">
        <v>375</v>
      </c>
      <c r="E7">
        <v>35</v>
      </c>
      <c r="F7">
        <v>0.02</v>
      </c>
      <c r="G7">
        <v>0.02</v>
      </c>
      <c r="H7">
        <v>60</v>
      </c>
      <c r="I7">
        <v>0.1</v>
      </c>
    </row>
    <row r="8" spans="1:9">
      <c r="A8" s="1">
        <v>6</v>
      </c>
      <c r="B8" t="s">
        <v>376</v>
      </c>
      <c r="C8">
        <v>1</v>
      </c>
      <c r="D8" t="s">
        <v>376</v>
      </c>
      <c r="E8">
        <v>36</v>
      </c>
      <c r="F8">
        <v>0.02</v>
      </c>
      <c r="G8">
        <v>0.02</v>
      </c>
      <c r="H8">
        <v>60</v>
      </c>
      <c r="I8">
        <v>0.1</v>
      </c>
    </row>
    <row r="9" spans="1:9">
      <c r="A9" s="1">
        <v>7</v>
      </c>
      <c r="B9" t="s">
        <v>377</v>
      </c>
      <c r="C9">
        <v>1</v>
      </c>
      <c r="D9" t="s">
        <v>377</v>
      </c>
      <c r="E9">
        <v>37</v>
      </c>
      <c r="F9">
        <v>0.02</v>
      </c>
      <c r="G9">
        <v>0.02</v>
      </c>
      <c r="H9">
        <v>60</v>
      </c>
      <c r="I9">
        <v>0.1</v>
      </c>
    </row>
    <row r="10" spans="1:9">
      <c r="A10" s="1">
        <v>8</v>
      </c>
      <c r="B10" t="s">
        <v>378</v>
      </c>
      <c r="C10">
        <v>1</v>
      </c>
      <c r="D10" t="s">
        <v>378</v>
      </c>
      <c r="E10">
        <v>38</v>
      </c>
      <c r="F10">
        <v>0.02</v>
      </c>
      <c r="G10">
        <v>0.02</v>
      </c>
      <c r="H10">
        <v>60</v>
      </c>
      <c r="I10">
        <v>0.1</v>
      </c>
    </row>
    <row r="11" spans="1:9">
      <c r="A11" s="1">
        <v>9</v>
      </c>
      <c r="B11" t="s">
        <v>379</v>
      </c>
      <c r="C11">
        <v>1</v>
      </c>
      <c r="D11" t="s">
        <v>379</v>
      </c>
      <c r="E11">
        <v>39</v>
      </c>
      <c r="F11">
        <v>0.02</v>
      </c>
      <c r="G11">
        <v>0.02</v>
      </c>
      <c r="H11">
        <v>60</v>
      </c>
      <c r="I11">
        <v>0.1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N51" sqref="N51"/>
    </sheetView>
  </sheetViews>
  <sheetFormatPr defaultColWidth="9" defaultRowHeight="13.5" outlineLevelRow="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1</v>
      </c>
      <c r="C2">
        <v>1</v>
      </c>
      <c r="D2" t="s">
        <v>380</v>
      </c>
    </row>
    <row r="3" spans="1:4">
      <c r="A3">
        <v>1</v>
      </c>
      <c r="B3">
        <v>2</v>
      </c>
      <c r="C3">
        <v>1</v>
      </c>
      <c r="D3" t="s">
        <v>381</v>
      </c>
    </row>
    <row r="4" spans="1:4">
      <c r="A4">
        <v>2</v>
      </c>
      <c r="B4">
        <v>3</v>
      </c>
      <c r="C4">
        <v>1</v>
      </c>
      <c r="D4" t="s">
        <v>382</v>
      </c>
    </row>
    <row r="5" spans="1:4">
      <c r="A5">
        <v>3</v>
      </c>
      <c r="B5">
        <v>4</v>
      </c>
      <c r="C5">
        <v>1</v>
      </c>
      <c r="D5" t="s">
        <v>383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F2" sqref="F2"/>
    </sheetView>
  </sheetViews>
  <sheetFormatPr defaultColWidth="8.875" defaultRowHeight="13.5" outlineLevelRow="4" outlineLevelCol="6"/>
  <cols>
    <col min="7" max="7" width="10.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179</v>
      </c>
      <c r="F1" s="1" t="s">
        <v>384</v>
      </c>
      <c r="G1" s="1" t="s">
        <v>334</v>
      </c>
    </row>
    <row r="2" spans="1:7">
      <c r="A2">
        <v>0</v>
      </c>
      <c r="B2">
        <v>5</v>
      </c>
      <c r="C2">
        <v>1</v>
      </c>
      <c r="D2" t="s">
        <v>385</v>
      </c>
      <c r="E2">
        <v>39</v>
      </c>
      <c r="F2">
        <v>8</v>
      </c>
      <c r="G2" t="s">
        <v>362</v>
      </c>
    </row>
    <row r="3" spans="1:7">
      <c r="A3">
        <v>1</v>
      </c>
      <c r="B3">
        <v>6</v>
      </c>
      <c r="C3">
        <v>1</v>
      </c>
      <c r="D3" t="s">
        <v>386</v>
      </c>
      <c r="E3">
        <v>38</v>
      </c>
      <c r="F3">
        <v>8</v>
      </c>
      <c r="G3" t="s">
        <v>364</v>
      </c>
    </row>
    <row r="4" spans="1:7">
      <c r="A4">
        <v>2</v>
      </c>
      <c r="B4">
        <v>7</v>
      </c>
      <c r="C4">
        <v>1</v>
      </c>
      <c r="D4" t="s">
        <v>387</v>
      </c>
      <c r="E4">
        <v>32</v>
      </c>
      <c r="F4">
        <v>8</v>
      </c>
      <c r="G4" t="s">
        <v>352</v>
      </c>
    </row>
    <row r="5" spans="1:7">
      <c r="A5">
        <v>3</v>
      </c>
      <c r="B5">
        <v>8</v>
      </c>
      <c r="C5">
        <v>1</v>
      </c>
      <c r="D5" t="s">
        <v>388</v>
      </c>
      <c r="E5">
        <v>33</v>
      </c>
      <c r="F5">
        <v>8</v>
      </c>
      <c r="G5" t="s">
        <v>354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Alter</vt:lpstr>
      <vt:lpstr>Toggler</vt:lpstr>
      <vt:lpstr>Bus</vt:lpstr>
      <vt:lpstr>PQ</vt:lpstr>
      <vt:lpstr>PV</vt:lpstr>
      <vt:lpstr>Slack</vt:lpstr>
      <vt:lpstr>Shunt</vt:lpstr>
      <vt:lpstr>Line</vt:lpstr>
      <vt:lpstr>Area</vt:lpstr>
      <vt:lpstr>REGF2</vt:lpstr>
      <vt:lpstr>GENROU</vt:lpstr>
      <vt:lpstr>TGOV1N</vt:lpstr>
      <vt:lpstr>IEEEX1</vt:lpstr>
      <vt:lpstr>IEEEST</vt:lpstr>
      <vt:lpstr>BusFreq</vt:lpstr>
      <vt:lpstr>BusROCOF</vt:lpstr>
      <vt:lpstr>COI</vt:lpstr>
      <vt:lpstr>ACEc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2021-05-27T16:18:00Z</dcterms:created>
  <dcterms:modified xsi:type="dcterms:W3CDTF">2026-03-17T08:10:53Z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E16CBE321E5A4756BD64AB93E748347C_12</vt:lpwstr>
  </property>
  <property fmtid="{D5CDD505-2E9C-101B-9397-08002B2CF9AE}" pid="3" name="KSOProductBuildVer">
    <vt:lpwstr>2052-12.1.0.18276</vt:lpwstr>
  </property>
  <property fmtid="{D5CDD505-2E9C-101B-9397-08002B2CF9AE}" pid="4" name="CalculationRule">
    <vt:i4>0</vt:i4>
  </property>
</Properties>
</file>